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Stefano\Desktop\"/>
    </mc:Choice>
  </mc:AlternateContent>
  <xr:revisionPtr revIDLastSave="0" documentId="13_ncr:1_{DAB66F2B-4B23-4FBE-A350-625E47C833F4}" xr6:coauthVersionLast="47" xr6:coauthVersionMax="47" xr10:uidLastSave="{00000000-0000-0000-0000-000000000000}"/>
  <bookViews>
    <workbookView xWindow="-120" yWindow="-120" windowWidth="38640" windowHeight="21120" activeTab="1" xr2:uid="{48F05D2A-A5FE-4BFA-A03D-DA9DC492A8A0}"/>
  </bookViews>
  <sheets>
    <sheet name="modelli" sheetId="1" r:id="rId1"/>
    <sheet name="calendari" sheetId="4" r:id="rId2"/>
    <sheet name="settimanale" sheetId="7" r:id="rId3"/>
    <sheet name="piano ferie" sheetId="5" r:id="rId4"/>
    <sheet name="calendario ferie" sheetId="6" r:id="rId5"/>
  </sheets>
  <definedNames>
    <definedName name="_xleta.DATE" hidden="1" xlm="1">#NAME?</definedName>
    <definedName name="_xlnm.Print_Area" localSheetId="1">calendari!$A$1:$AM$193</definedName>
    <definedName name="_xlnm.Print_Area" localSheetId="2">settimanale!$A$1:$F$817</definedName>
    <definedName name="DaMatrice_1">_xlfn.ANCHORARRAY(#REF!)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84" i="4" l="1" a="1"/>
  <c r="I184" i="4" s="1"/>
  <c r="I185" i="4" a="1"/>
  <c r="I185" i="4" s="1"/>
  <c r="I186" i="4" a="1"/>
  <c r="I186" i="4" s="1"/>
  <c r="I187" i="4" a="1"/>
  <c r="I187" i="4" s="1"/>
  <c r="I188" i="4" a="1"/>
  <c r="I188" i="4" s="1"/>
  <c r="I189" i="4" a="1"/>
  <c r="I189" i="4" s="1"/>
  <c r="I190" i="4" a="1"/>
  <c r="I190" i="4" s="1"/>
  <c r="I191" i="4" a="1"/>
  <c r="I191" i="4" s="1"/>
  <c r="I192" i="4" a="1"/>
  <c r="I192" i="4" s="1"/>
  <c r="I193" i="4" a="1"/>
  <c r="I193" i="4" s="1"/>
  <c r="I183" i="4" a="1"/>
  <c r="I183" i="4" s="1"/>
  <c r="U13" i="1"/>
  <c r="U12" i="1"/>
  <c r="U11" i="1"/>
  <c r="U10" i="1"/>
  <c r="U9" i="1"/>
  <c r="U8" i="1"/>
  <c r="U7" i="1"/>
  <c r="U6" i="1"/>
  <c r="U5" i="1"/>
  <c r="U4" i="1"/>
  <c r="U3" i="1"/>
  <c r="E13" i="1"/>
  <c r="E12" i="1"/>
  <c r="E11" i="1"/>
  <c r="E10" i="1"/>
  <c r="E9" i="1"/>
  <c r="E8" i="1"/>
  <c r="E7" i="1"/>
  <c r="E6" i="1"/>
  <c r="E5" i="1"/>
  <c r="E4" i="1"/>
  <c r="E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07F0C0-B421-4CAE-8B80-DDD42FEAA32F}" keepAlive="1" name="Query - DaMatrice_1" description="Connessione alla query 'DaMatrice_1' nella cartella di lavoro." type="5" refreshedVersion="0" background="1">
    <dbPr connection="Provider=Microsoft.Mashup.OleDb.1;Data Source=$Workbook$;Location=DaMatrice_1;Extended Properties=&quot;&quot;" command="SELECT * FROM [DaMatrice_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<sst xmlns="http://schemas.openxmlformats.org/spreadsheetml/2006/main" count="5057" uniqueCount="444">
  <si>
    <t>LUNEDI</t>
  </si>
  <si>
    <t>MATTINA</t>
  </si>
  <si>
    <t>POMERIGGIO</t>
  </si>
  <si>
    <t>MARTEDI</t>
  </si>
  <si>
    <t>MERCOLEDI</t>
  </si>
  <si>
    <t>GIOVEDI</t>
  </si>
  <si>
    <t>VENERDI</t>
  </si>
  <si>
    <t>SABATO</t>
  </si>
  <si>
    <t>DOMENICA</t>
  </si>
  <si>
    <t>Rep 11</t>
  </si>
  <si>
    <t>P</t>
  </si>
  <si>
    <t>M</t>
  </si>
  <si>
    <t>L</t>
  </si>
  <si>
    <t>NOMI</t>
  </si>
  <si>
    <t>REP</t>
  </si>
  <si>
    <t>01_x000D_
V</t>
  </si>
  <si>
    <t>02_x000D_
S</t>
  </si>
  <si>
    <t>03_x000D_
D</t>
  </si>
  <si>
    <t>04_x000D_
L</t>
  </si>
  <si>
    <t>05_x000D_
M</t>
  </si>
  <si>
    <t>06_x000D_
M</t>
  </si>
  <si>
    <t>07_x000D_
G</t>
  </si>
  <si>
    <t>08_x000D_
V</t>
  </si>
  <si>
    <t>09_x000D_
S</t>
  </si>
  <si>
    <t>10_x000D_
D</t>
  </si>
  <si>
    <t>11_x000D_
L</t>
  </si>
  <si>
    <t>12_x000D_
M</t>
  </si>
  <si>
    <t>13_x000D_
M</t>
  </si>
  <si>
    <t>14_x000D_
G</t>
  </si>
  <si>
    <t>15_x000D_
V</t>
  </si>
  <si>
    <t>16_x000D_
S</t>
  </si>
  <si>
    <t>17_x000D_
D</t>
  </si>
  <si>
    <t>18_x000D_
L</t>
  </si>
  <si>
    <t>19_x000D_
M</t>
  </si>
  <si>
    <t>20_x000D_
M</t>
  </si>
  <si>
    <t>21_x000D_
G</t>
  </si>
  <si>
    <t>22_x000D_
V</t>
  </si>
  <si>
    <t>23_x000D_
S</t>
  </si>
  <si>
    <t>24_x000D_
D</t>
  </si>
  <si>
    <t>25_x000D_
L</t>
  </si>
  <si>
    <t>26_x000D_
M</t>
  </si>
  <si>
    <t>27_x000D_
M</t>
  </si>
  <si>
    <t>28_x000D_
G</t>
  </si>
  <si>
    <t>29_x000D_
V</t>
  </si>
  <si>
    <t>30_x000D_
S</t>
  </si>
  <si>
    <t>31_x000D_
D</t>
  </si>
  <si>
    <t>01_x000D_
L</t>
  </si>
  <si>
    <t>02_x000D_
M</t>
  </si>
  <si>
    <t>03_x000D_
M</t>
  </si>
  <si>
    <t>04_x000D_
G</t>
  </si>
  <si>
    <t>05_x000D_
V</t>
  </si>
  <si>
    <t>06_x000D_
S</t>
  </si>
  <si>
    <t>07_x000D_
D</t>
  </si>
  <si>
    <t>08_x000D_
L</t>
  </si>
  <si>
    <t>09_x000D_
M</t>
  </si>
  <si>
    <t>10_x000D_
M</t>
  </si>
  <si>
    <t>11_x000D_
G</t>
  </si>
  <si>
    <t>12_x000D_
V</t>
  </si>
  <si>
    <t>13_x000D_
S</t>
  </si>
  <si>
    <t>14_x000D_
D</t>
  </si>
  <si>
    <t>15_x000D_
L</t>
  </si>
  <si>
    <t>16_x000D_
M</t>
  </si>
  <si>
    <t>17_x000D_
M</t>
  </si>
  <si>
    <t>18_x000D_
G</t>
  </si>
  <si>
    <t>19_x000D_
V</t>
  </si>
  <si>
    <t>20_x000D_
S</t>
  </si>
  <si>
    <t>21_x000D_
D</t>
  </si>
  <si>
    <t>22_x000D_
L</t>
  </si>
  <si>
    <t>23_x000D_
M</t>
  </si>
  <si>
    <t>24_x000D_
M</t>
  </si>
  <si>
    <t>25_x000D_
G</t>
  </si>
  <si>
    <t>26_x000D_
V</t>
  </si>
  <si>
    <t>27_x000D_
S</t>
  </si>
  <si>
    <t>28_x000D_
D</t>
  </si>
  <si>
    <t>29_x000D_
L</t>
  </si>
  <si>
    <t>30_x000D_
M</t>
  </si>
  <si>
    <t>01_x000D_
M</t>
  </si>
  <si>
    <t>02_x000D_
G</t>
  </si>
  <si>
    <t>03_x000D_
V</t>
  </si>
  <si>
    <t>04_x000D_
S</t>
  </si>
  <si>
    <t>05_x000D_
D</t>
  </si>
  <si>
    <t>06_x000D_
L</t>
  </si>
  <si>
    <t>07_x000D_
M</t>
  </si>
  <si>
    <t>08_x000D_
M</t>
  </si>
  <si>
    <t>09_x000D_
G</t>
  </si>
  <si>
    <t>10_x000D_
V</t>
  </si>
  <si>
    <t>11_x000D_
S</t>
  </si>
  <si>
    <t>12_x000D_
D</t>
  </si>
  <si>
    <t>13_x000D_
L</t>
  </si>
  <si>
    <t>14_x000D_
M</t>
  </si>
  <si>
    <t>15_x000D_
M</t>
  </si>
  <si>
    <t>16_x000D_
G</t>
  </si>
  <si>
    <t>17_x000D_
V</t>
  </si>
  <si>
    <t>18_x000D_
S</t>
  </si>
  <si>
    <t>19_x000D_
D</t>
  </si>
  <si>
    <t>20_x000D_
L</t>
  </si>
  <si>
    <t>21_x000D_
M</t>
  </si>
  <si>
    <t>22_x000D_
M</t>
  </si>
  <si>
    <t>23_x000D_
G</t>
  </si>
  <si>
    <t>24_x000D_
V</t>
  </si>
  <si>
    <t>25_x000D_
S</t>
  </si>
  <si>
    <t>26_x000D_
D</t>
  </si>
  <si>
    <t>27_x000D_
L</t>
  </si>
  <si>
    <t>28_x000D_
M</t>
  </si>
  <si>
    <t>29_x000D_
M</t>
  </si>
  <si>
    <t>30_x000D_
G</t>
  </si>
  <si>
    <t>31_x000D_
V</t>
  </si>
  <si>
    <t>01_x000D_
S</t>
  </si>
  <si>
    <t>02_x000D_
D</t>
  </si>
  <si>
    <t>03_x000D_
L</t>
  </si>
  <si>
    <t>04_x000D_
M</t>
  </si>
  <si>
    <t>06_x000D_
G</t>
  </si>
  <si>
    <t>07_x000D_
V</t>
  </si>
  <si>
    <t>08_x000D_
S</t>
  </si>
  <si>
    <t>09_x000D_
D</t>
  </si>
  <si>
    <t>10_x000D_
L</t>
  </si>
  <si>
    <t>11_x000D_
M</t>
  </si>
  <si>
    <t>13_x000D_
G</t>
  </si>
  <si>
    <t>14_x000D_
V</t>
  </si>
  <si>
    <t>15_x000D_
S</t>
  </si>
  <si>
    <t>16_x000D_
D</t>
  </si>
  <si>
    <t>17_x000D_
L</t>
  </si>
  <si>
    <t>18_x000D_
M</t>
  </si>
  <si>
    <t>20_x000D_
G</t>
  </si>
  <si>
    <t>21_x000D_
V</t>
  </si>
  <si>
    <t>22_x000D_
S</t>
  </si>
  <si>
    <t>23_x000D_
D</t>
  </si>
  <si>
    <t>24_x000D_
L</t>
  </si>
  <si>
    <t>25_x000D_
M</t>
  </si>
  <si>
    <t>27_x000D_
G</t>
  </si>
  <si>
    <t>28_x000D_
V</t>
  </si>
  <si>
    <t>29_x000D_
S</t>
  </si>
  <si>
    <t>30_x000D_
D</t>
  </si>
  <si>
    <t>31_x000D_
L</t>
  </si>
  <si>
    <t>03_x000D_
G</t>
  </si>
  <si>
    <t>04_x000D_
V</t>
  </si>
  <si>
    <t>05_x000D_
S</t>
  </si>
  <si>
    <t>06_x000D_
D</t>
  </si>
  <si>
    <t>07_x000D_
L</t>
  </si>
  <si>
    <t>10_x000D_
G</t>
  </si>
  <si>
    <t>11_x000D_
V</t>
  </si>
  <si>
    <t>12_x000D_
S</t>
  </si>
  <si>
    <t>13_x000D_
D</t>
  </si>
  <si>
    <t>14_x000D_
L</t>
  </si>
  <si>
    <t>17_x000D_
G</t>
  </si>
  <si>
    <t>18_x000D_
V</t>
  </si>
  <si>
    <t>19_x000D_
S</t>
  </si>
  <si>
    <t>20_x000D_
D</t>
  </si>
  <si>
    <t>21_x000D_
L</t>
  </si>
  <si>
    <t>24_x000D_
G</t>
  </si>
  <si>
    <t>25_x000D_
V</t>
  </si>
  <si>
    <t>26_x000D_
S</t>
  </si>
  <si>
    <t>27_x000D_
D</t>
  </si>
  <si>
    <t>28_x000D_
L</t>
  </si>
  <si>
    <t>01_x000D_
G</t>
  </si>
  <si>
    <t>02_x000D_
V</t>
  </si>
  <si>
    <t>03_x000D_
S</t>
  </si>
  <si>
    <t>04_x000D_
D</t>
  </si>
  <si>
    <t>05_x000D_
L</t>
  </si>
  <si>
    <t>08_x000D_
G</t>
  </si>
  <si>
    <t>09_x000D_
V</t>
  </si>
  <si>
    <t>10_x000D_
S</t>
  </si>
  <si>
    <t>11_x000D_
D</t>
  </si>
  <si>
    <t>12_x000D_
L</t>
  </si>
  <si>
    <t>15_x000D_
G</t>
  </si>
  <si>
    <t>16_x000D_
V</t>
  </si>
  <si>
    <t>17_x000D_
S</t>
  </si>
  <si>
    <t>18_x000D_
D</t>
  </si>
  <si>
    <t>19_x000D_
L</t>
  </si>
  <si>
    <t>22_x000D_
G</t>
  </si>
  <si>
    <t>23_x000D_
V</t>
  </si>
  <si>
    <t>24_x000D_
S</t>
  </si>
  <si>
    <t>25_x000D_
D</t>
  </si>
  <si>
    <t>26_x000D_
L</t>
  </si>
  <si>
    <t>29_x000D_
G</t>
  </si>
  <si>
    <t>30_x000D_
V</t>
  </si>
  <si>
    <t>31_x000D_
S</t>
  </si>
  <si>
    <t>ISTRUZIONI</t>
  </si>
  <si>
    <t>1-APRIRLO DAL COMPUTER</t>
  </si>
  <si>
    <t>2-METTI IL TUO COGNOME IN UNA DELLE PRIME CELLE SULLA SINISTRA</t>
  </si>
  <si>
    <t>3-PREMI IL PULSANTE GENERA SCHEMA E ASPETTA QUALCHE SECONDO</t>
  </si>
  <si>
    <t>4-PREMI OK QUANDO HA FINITO</t>
  </si>
  <si>
    <t>5-CLICCA SUL FOGLIO CALENDARI E VEDI IL CALENDARIO</t>
  </si>
  <si>
    <t xml:space="preserve"> </t>
  </si>
  <si>
    <t>D</t>
  </si>
  <si>
    <t>F</t>
  </si>
  <si>
    <t>RIC POM</t>
  </si>
  <si>
    <t>RIC MAT</t>
  </si>
  <si>
    <t>MAGGIO 2026 - RICERCA</t>
  </si>
  <si>
    <t>GIUGNO 2026 - RICERCA</t>
  </si>
  <si>
    <t>LUGLIO 2026 - RICERCA</t>
  </si>
  <si>
    <t>AGOSTO 2026 - RICERCA</t>
  </si>
  <si>
    <t>SETTEMBRE 2026 - RICERCA</t>
  </si>
  <si>
    <t>OTTOBRE 2026 - RICERCA</t>
  </si>
  <si>
    <t>SCEGLI IL PERIODO DA GENERARE</t>
  </si>
  <si>
    <t>MESE INIZIO</t>
  </si>
  <si>
    <t>ANNO INIZIO</t>
  </si>
  <si>
    <t>MESE FINE</t>
  </si>
  <si>
    <t>ANNO FINE</t>
  </si>
  <si>
    <t>OTTOBRE</t>
  </si>
  <si>
    <t>SCHEMA 1</t>
  </si>
  <si>
    <t>SCHEMA 2</t>
  </si>
  <si>
    <t>continuità 1 persona la mattina e il pomeriggio lun-ven. continuità domenica lunedì con 1 persona. C'è un turno di 8 giorni con 1 solo riposo in mezzo ma poi tanti riposi</t>
  </si>
  <si>
    <t>due persone fisse la mattina per 5 giorni, una che da continuità sabato-lunedì. Tutti i requisiti soddisfatti. Una turnazione sola faticosa ma fattibile</t>
  </si>
  <si>
    <t>MAGGIO 2026 (SCHEMA 1)</t>
  </si>
  <si>
    <t>GIUGNO 2026 (SCHEMA 1)</t>
  </si>
  <si>
    <t>LUGLIO 2026 (SCHEMA 1)</t>
  </si>
  <si>
    <t>AGOSTO 2026 (SCHEMA 1)</t>
  </si>
  <si>
    <t>SETTEMBRE 2026 (SCHEMA 1)</t>
  </si>
  <si>
    <t>OTTOBRE 2026 (SCHEMA 1)</t>
  </si>
  <si>
    <t>RIEPILOGO 2026 (SCHEMA 1)</t>
  </si>
  <si>
    <t>RM</t>
  </si>
  <si>
    <t>RP</t>
  </si>
  <si>
    <t>MARABELLI</t>
  </si>
  <si>
    <t>FERIE</t>
  </si>
  <si>
    <t>MAGGIO 2026</t>
  </si>
  <si>
    <t>GIUGNO 2026</t>
  </si>
  <si>
    <t>LUGLIO 2026</t>
  </si>
  <si>
    <t>AGOSTO 2026</t>
  </si>
  <si>
    <t>SETTEMBRE 2026</t>
  </si>
  <si>
    <t>OTTOBRE 2026</t>
  </si>
  <si>
    <t>S</t>
  </si>
  <si>
    <t>FERIE IN CONTEMPORANEA:</t>
  </si>
  <si>
    <t>Legenda: M = mattina | P = pomeriggio | L = lunga | RM = Ricerca Mattina | RP = Ricerca Pomeriggio | S = Sabato | D = Domenica | F = Festivo</t>
  </si>
  <si>
    <t>TURNISTI PRESENTI</t>
  </si>
  <si>
    <t>CALENDARIO FERIE LINEARE (SCHEMA 1)</t>
  </si>
  <si>
    <t>UBERTI</t>
  </si>
  <si>
    <t>SCATRAGLI</t>
  </si>
  <si>
    <t>SPIRIDINOV</t>
  </si>
  <si>
    <t>BIADER</t>
  </si>
  <si>
    <t>CIAVARELLI</t>
  </si>
  <si>
    <t>COGNATA</t>
  </si>
  <si>
    <t>PALMIERI</t>
  </si>
  <si>
    <t>GALASSO</t>
  </si>
  <si>
    <t>MERINGOLO</t>
  </si>
  <si>
    <t>DI VENANZIO</t>
  </si>
  <si>
    <t>4/6/26-7/6/26; 2/7/26-4/7/26; 24/7/26-27/7/26; 21/8/26-03/9/26</t>
  </si>
  <si>
    <t>15/7/26-24/7/26; 10/8/26-23/8/26;</t>
  </si>
  <si>
    <t>MAGGIO</t>
  </si>
  <si>
    <t>RM MATTINA</t>
  </si>
  <si>
    <t>RM POMERIGGIO</t>
  </si>
  <si>
    <t>VENERDÌ</t>
  </si>
  <si>
    <t>REPERIBILE</t>
  </si>
  <si>
    <t>LUNEDÌ</t>
  </si>
  <si>
    <t>MARTEDÌ</t>
  </si>
  <si>
    <t>MERCOLEDÌ</t>
  </si>
  <si>
    <t>GIOVEDÌ</t>
  </si>
  <si>
    <t>1-MAG</t>
  </si>
  <si>
    <t>2-MAG</t>
  </si>
  <si>
    <t>3-MAG</t>
  </si>
  <si>
    <t>4-MAG</t>
  </si>
  <si>
    <t>5-MAG</t>
  </si>
  <si>
    <t>6-MAG</t>
  </si>
  <si>
    <t>7-MAG</t>
  </si>
  <si>
    <t>8-MAG</t>
  </si>
  <si>
    <t>9-MAG</t>
  </si>
  <si>
    <t>10-MAG</t>
  </si>
  <si>
    <t>11-MAG</t>
  </si>
  <si>
    <t>12-MAG</t>
  </si>
  <si>
    <t>13-MAG</t>
  </si>
  <si>
    <t>14-MAG</t>
  </si>
  <si>
    <t>15-MAG</t>
  </si>
  <si>
    <t>16-MAG</t>
  </si>
  <si>
    <t>17-MAG</t>
  </si>
  <si>
    <t>18-MAG</t>
  </si>
  <si>
    <t>19-MAG</t>
  </si>
  <si>
    <t>20-MAG</t>
  </si>
  <si>
    <t>21-MAG</t>
  </si>
  <si>
    <t>22-MAG</t>
  </si>
  <si>
    <t>23-MAG</t>
  </si>
  <si>
    <t>24-MAG</t>
  </si>
  <si>
    <t>25-MAG</t>
  </si>
  <si>
    <t>26-MAG</t>
  </si>
  <si>
    <t>27-MAG</t>
  </si>
  <si>
    <t>28-MAG</t>
  </si>
  <si>
    <t>29-MAG</t>
  </si>
  <si>
    <t>30-MAG</t>
  </si>
  <si>
    <t>31-MAG</t>
  </si>
  <si>
    <t>1-GIU</t>
  </si>
  <si>
    <t>2-GIU</t>
  </si>
  <si>
    <t>3-GIU</t>
  </si>
  <si>
    <t>4-GIU</t>
  </si>
  <si>
    <t>5-GIU</t>
  </si>
  <si>
    <t>6-GIU</t>
  </si>
  <si>
    <t>7-GIU</t>
  </si>
  <si>
    <t>8-GIU</t>
  </si>
  <si>
    <t>9-GIU</t>
  </si>
  <si>
    <t>10-GIU</t>
  </si>
  <si>
    <t>11-GIU</t>
  </si>
  <si>
    <t>12-GIU</t>
  </si>
  <si>
    <t>13-GIU</t>
  </si>
  <si>
    <t>14-GIU</t>
  </si>
  <si>
    <t>15-GIU</t>
  </si>
  <si>
    <t>16-GIU</t>
  </si>
  <si>
    <t>17-GIU</t>
  </si>
  <si>
    <t>18-GIU</t>
  </si>
  <si>
    <t>19-GIU</t>
  </si>
  <si>
    <t>20-GIU</t>
  </si>
  <si>
    <t>21-GIU</t>
  </si>
  <si>
    <t>22-GIU</t>
  </si>
  <si>
    <t>23-GIU</t>
  </si>
  <si>
    <t>24-GIU</t>
  </si>
  <si>
    <t>25-GIU</t>
  </si>
  <si>
    <t>26-GIU</t>
  </si>
  <si>
    <t>27-GIU</t>
  </si>
  <si>
    <t>28-GIU</t>
  </si>
  <si>
    <t>29-GIU</t>
  </si>
  <si>
    <t>30-GIU</t>
  </si>
  <si>
    <t>1-LUG</t>
  </si>
  <si>
    <t>2-LUG</t>
  </si>
  <si>
    <t>3-LUG</t>
  </si>
  <si>
    <t>4-LUG</t>
  </si>
  <si>
    <t>5-LUG</t>
  </si>
  <si>
    <t>6-LUG</t>
  </si>
  <si>
    <t>7-LUG</t>
  </si>
  <si>
    <t>8-LUG</t>
  </si>
  <si>
    <t>9-LUG</t>
  </si>
  <si>
    <t>10-LUG</t>
  </si>
  <si>
    <t>11-LUG</t>
  </si>
  <si>
    <t>12-LUG</t>
  </si>
  <si>
    <t>13-LUG</t>
  </si>
  <si>
    <t>14-LUG</t>
  </si>
  <si>
    <t>15-LUG</t>
  </si>
  <si>
    <t>16-LUG</t>
  </si>
  <si>
    <t>17-LUG</t>
  </si>
  <si>
    <t>18-LUG</t>
  </si>
  <si>
    <t>19-LUG</t>
  </si>
  <si>
    <t>20-LUG</t>
  </si>
  <si>
    <t>21-LUG</t>
  </si>
  <si>
    <t>22-LUG</t>
  </si>
  <si>
    <t>23-LUG</t>
  </si>
  <si>
    <t>24-LUG</t>
  </si>
  <si>
    <t>25-LUG</t>
  </si>
  <si>
    <t>26-LUG</t>
  </si>
  <si>
    <t>27-LUG</t>
  </si>
  <si>
    <t>28-LUG</t>
  </si>
  <si>
    <t>29-LUG</t>
  </si>
  <si>
    <t>30-LUG</t>
  </si>
  <si>
    <t>31-LUG</t>
  </si>
  <si>
    <t>1-AGO</t>
  </si>
  <si>
    <t>2-AGO</t>
  </si>
  <si>
    <t>3-AGO</t>
  </si>
  <si>
    <t>4-AGO</t>
  </si>
  <si>
    <t>5-AGO</t>
  </si>
  <si>
    <t>6-AGO</t>
  </si>
  <si>
    <t>7-AGO</t>
  </si>
  <si>
    <t>8-AGO</t>
  </si>
  <si>
    <t>9-AGO</t>
  </si>
  <si>
    <t>10-AGO</t>
  </si>
  <si>
    <t>11-AGO</t>
  </si>
  <si>
    <t>12-AGO</t>
  </si>
  <si>
    <t>13-AGO</t>
  </si>
  <si>
    <t>14-AGO</t>
  </si>
  <si>
    <t>15-AGO</t>
  </si>
  <si>
    <t>16-AGO</t>
  </si>
  <si>
    <t>17-AGO</t>
  </si>
  <si>
    <t>18-AGO</t>
  </si>
  <si>
    <t>19-AGO</t>
  </si>
  <si>
    <t>20-AGO</t>
  </si>
  <si>
    <t>21-AGO</t>
  </si>
  <si>
    <t>22-AGO</t>
  </si>
  <si>
    <t>23-AGO</t>
  </si>
  <si>
    <t>24-AGO</t>
  </si>
  <si>
    <t>25-AGO</t>
  </si>
  <si>
    <t>26-AGO</t>
  </si>
  <si>
    <t>27-AGO</t>
  </si>
  <si>
    <t>28-AGO</t>
  </si>
  <si>
    <t>29-AGO</t>
  </si>
  <si>
    <t>30-AGO</t>
  </si>
  <si>
    <t>31-AGO</t>
  </si>
  <si>
    <t>1-SET</t>
  </si>
  <si>
    <t>2-SET</t>
  </si>
  <si>
    <t>3-SET</t>
  </si>
  <si>
    <t>4-SET</t>
  </si>
  <si>
    <t>5-SET</t>
  </si>
  <si>
    <t>6-SET</t>
  </si>
  <si>
    <t>7-SET</t>
  </si>
  <si>
    <t>8-SET</t>
  </si>
  <si>
    <t>9-SET</t>
  </si>
  <si>
    <t>10-SET</t>
  </si>
  <si>
    <t>11-SET</t>
  </si>
  <si>
    <t>12-SET</t>
  </si>
  <si>
    <t>13-SET</t>
  </si>
  <si>
    <t>14-SET</t>
  </si>
  <si>
    <t>15-SET</t>
  </si>
  <si>
    <t>16-SET</t>
  </si>
  <si>
    <t>17-SET</t>
  </si>
  <si>
    <t>18-SET</t>
  </si>
  <si>
    <t>19-SET</t>
  </si>
  <si>
    <t>20-SET</t>
  </si>
  <si>
    <t>21-SET</t>
  </si>
  <si>
    <t>22-SET</t>
  </si>
  <si>
    <t>23-SET</t>
  </si>
  <si>
    <t>24-SET</t>
  </si>
  <si>
    <t>25-SET</t>
  </si>
  <si>
    <t>26-SET</t>
  </si>
  <si>
    <t>27-SET</t>
  </si>
  <si>
    <t>28-SET</t>
  </si>
  <si>
    <t>29-SET</t>
  </si>
  <si>
    <t>30-SET</t>
  </si>
  <si>
    <t>1-OTT</t>
  </si>
  <si>
    <t>2-OTT</t>
  </si>
  <si>
    <t>3-OTT</t>
  </si>
  <si>
    <t>4-OTT</t>
  </si>
  <si>
    <t>5-OTT</t>
  </si>
  <si>
    <t>6-OTT</t>
  </si>
  <si>
    <t>7-OTT</t>
  </si>
  <si>
    <t>8-OTT</t>
  </si>
  <si>
    <t>9-OTT</t>
  </si>
  <si>
    <t>10-OTT</t>
  </si>
  <si>
    <t>11-OTT</t>
  </si>
  <si>
    <t>12-OTT</t>
  </si>
  <si>
    <t>13-OTT</t>
  </si>
  <si>
    <t>14-OTT</t>
  </si>
  <si>
    <t>15-OTT</t>
  </si>
  <si>
    <t>16-OTT</t>
  </si>
  <si>
    <t>17-OTT</t>
  </si>
  <si>
    <t>18-OTT</t>
  </si>
  <si>
    <t>19-OTT</t>
  </si>
  <si>
    <t>20-OTT</t>
  </si>
  <si>
    <t>21-OTT</t>
  </si>
  <si>
    <t>22-OTT</t>
  </si>
  <si>
    <t>23-OTT</t>
  </si>
  <si>
    <t>24-OTT</t>
  </si>
  <si>
    <t>25-OTT</t>
  </si>
  <si>
    <t>26-OTT</t>
  </si>
  <si>
    <t>27-OTT</t>
  </si>
  <si>
    <t>28-OTT</t>
  </si>
  <si>
    <t>29-OTT</t>
  </si>
  <si>
    <t>30-OTT</t>
  </si>
  <si>
    <t>31-OTT</t>
  </si>
  <si>
    <t>AGGIUNGI</t>
  </si>
  <si>
    <t>+</t>
  </si>
  <si>
    <t>DOPPIO CLICK SUL "+" PER AGGIUNGERE LE FERIE E POI FARE CLICK SUL PULSANTE "VISUALIZZAZIONE LINEARE DELLE FERIE" PER AGGIORNARE IL CALENDARIO</t>
  </si>
  <si>
    <t>06/07/2026-21/07/2026; 13/08/2026-19/08/2026</t>
  </si>
  <si>
    <t>23/07/2026-02/08/2026; 31/08/2026-04/09/2026; 23/10/2026-26/10/2026</t>
  </si>
  <si>
    <t>06/08/2026-20/08/2026</t>
  </si>
  <si>
    <t>17/05/2026; 17/07/2026-24/07/2026; 27/07/2026-05/08/2026; 24/08/2026-02/09/2026</t>
  </si>
  <si>
    <t>28/05/2026; 29/06/2026-08/07/2026; 08/09/2026-23/09/2026; 03/10/2026-04/10/2026</t>
  </si>
  <si>
    <t>TOT</t>
  </si>
  <si>
    <t>16/07/2026-24/07/2026; 10/08/2026-19/08/2026; 22/08/2026</t>
  </si>
  <si>
    <t>30/05/2026-11/06/2026; 20/06/2026-21/06/2026; 10/07/2026-15/07/2026; 25/09/2026-30/09/2026</t>
  </si>
  <si>
    <t>27/07/2026-09/08/2026; 18/09/2026-20/09/2026</t>
  </si>
  <si>
    <t>14/05/2026-20/05/2026; 30/05/2026-31/05/2026; 30/07/2026-05/08/2026; 28/08/2026-17/09/2026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</si>
</sst>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3"/>
      <color rgb="FFC00000"/>
      <name val="Aptos Narrow"/>
      <family val="2"/>
      <scheme val="minor"/>
    </font>
    <font>
      <sz val="8"/>
      <name val="Aptos Narrow"/>
      <family val="2"/>
      <scheme val="minor"/>
    </font>
    <font>
      <b/>
      <sz val="10"/>
      <color rgb="FF000000"/>
      <name val="Aptos Narrow"/>
      <family val="2"/>
      <scheme val="minor"/>
    </font>
    <font>
      <b/>
      <sz val="11"/>
      <color rgb="FF505050"/>
      <name val="Aptos Narrow"/>
      <family val="2"/>
      <scheme val="minor"/>
    </font>
    <font>
      <sz val="11"/>
      <color rgb="FF50505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0"/>
      <color rgb="FF00B050"/>
      <name val="Aptos Narrow"/>
      <family val="2"/>
      <scheme val="minor"/>
    </font>
    <font>
      <b/>
      <sz val="18"/>
      <color rgb="FF00B050"/>
      <name val="Calibri"/>
      <family val="2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2"/>
      <color rgb="FF000000"/>
      <name val="Aptos Narrow"/>
      <family val="2"/>
    </font>
    <font>
      <sz val="12"/>
      <color rgb="FF00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lightTrellis"/>
    </fill>
    <fill>
      <patternFill patternType="solid">
        <fgColor rgb="FFDCE6F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2F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CEBFC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4E2FC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D9D9"/>
        <bgColor indexed="64"/>
      </patternFill>
    </fill>
    <fill>
      <patternFill patternType="solid">
        <fgColor rgb="FFC6EFCE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 diagonalUp="1" diagonalDown="1">
      <left/>
      <right style="thin">
        <color auto="1"/>
      </right>
      <top/>
      <bottom/>
      <diagonal style="thin">
        <color auto="1"/>
      </diagonal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1" fillId="0" borderId="5" xfId="0" applyFont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7" xfId="0" applyFont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6" borderId="0" xfId="0" applyFont="1" applyFill="1" applyAlignment="1">
      <alignment horizontal="center"/>
    </xf>
    <xf numFmtId="0" fontId="1" fillId="11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12" borderId="0" xfId="0" applyFont="1" applyFill="1" applyAlignment="1">
      <alignment horizontal="center"/>
    </xf>
    <xf numFmtId="0" fontId="1" fillId="10" borderId="0" xfId="0" applyFont="1" applyFill="1" applyAlignment="1">
      <alignment horizontal="center"/>
    </xf>
    <xf numFmtId="0" fontId="1" fillId="13" borderId="8" xfId="0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6" fillId="0" borderId="0" xfId="0" applyFont="1"/>
    <xf numFmtId="0" fontId="3" fillId="0" borderId="0" xfId="0" applyFont="1"/>
    <xf numFmtId="0" fontId="8" fillId="0" borderId="0" xfId="0" applyFont="1"/>
    <xf numFmtId="0" fontId="10" fillId="0" borderId="0" xfId="0" applyFont="1"/>
    <xf numFmtId="0" fontId="12" fillId="0" borderId="0" xfId="0" applyFont="1"/>
    <xf numFmtId="0" fontId="3" fillId="18" borderId="0" xfId="0" applyFont="1" applyFill="1"/>
    <xf numFmtId="0" fontId="3" fillId="19" borderId="0" xfId="0" applyFont="1" applyFill="1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vertical="top" wrapText="1"/>
      <protection locked="0"/>
    </xf>
    <xf numFmtId="0" fontId="19" fillId="14" borderId="9" xfId="0" applyFont="1" applyFill="1" applyBorder="1" applyAlignment="1" applyProtection="1">
      <alignment horizontal="center" vertical="center"/>
      <protection locked="0"/>
    </xf>
    <xf numFmtId="0" fontId="0" fillId="0" borderId="11" xfId="0" applyBorder="1" applyAlignment="1">
      <alignment horizontal="center" vertical="center"/>
    </xf>
    <xf numFmtId="0" fontId="3" fillId="14" borderId="11" xfId="0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3" fillId="14" borderId="11" xfId="0" applyFont="1" applyFill="1" applyBorder="1"/>
    <xf numFmtId="0" fontId="5" fillId="15" borderId="11" xfId="0" applyFont="1" applyFill="1" applyBorder="1" applyAlignment="1">
      <alignment horizontal="center" vertical="center" wrapText="1"/>
    </xf>
    <xf numFmtId="0" fontId="3" fillId="15" borderId="11" xfId="0" applyFont="1" applyFill="1" applyBorder="1" applyAlignment="1">
      <alignment horizontal="center" vertical="center" wrapText="1"/>
    </xf>
    <xf numFmtId="0" fontId="3" fillId="16" borderId="11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15" fillId="16" borderId="11" xfId="0" applyFont="1" applyFill="1" applyBorder="1" applyAlignment="1">
      <alignment horizontal="center" vertical="center"/>
    </xf>
    <xf numFmtId="0" fontId="5" fillId="16" borderId="11" xfId="0" applyFont="1" applyFill="1" applyBorder="1" applyAlignment="1">
      <alignment horizontal="center" vertical="center"/>
    </xf>
    <xf numFmtId="0" fontId="11" fillId="16" borderId="11" xfId="0" applyFont="1" applyFill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5" fillId="20" borderId="11" xfId="0" applyFont="1" applyFill="1" applyBorder="1" applyAlignment="1">
      <alignment horizontal="center" vertical="center" wrapText="1"/>
    </xf>
    <xf numFmtId="0" fontId="3" fillId="20" borderId="11" xfId="0" applyFont="1" applyFill="1" applyBorder="1" applyAlignment="1">
      <alignment horizontal="center" vertical="center" wrapText="1"/>
    </xf>
    <xf numFmtId="0" fontId="3" fillId="17" borderId="11" xfId="0" applyFont="1" applyFill="1" applyBorder="1" applyAlignment="1">
      <alignment horizontal="center" vertical="center"/>
    </xf>
    <xf numFmtId="0" fontId="3" fillId="21" borderId="11" xfId="0" applyFont="1" applyFill="1" applyBorder="1" applyAlignment="1">
      <alignment horizontal="left"/>
    </xf>
    <xf numFmtId="0" fontId="3" fillId="21" borderId="11" xfId="0" applyFont="1" applyFill="1" applyBorder="1" applyAlignment="1">
      <alignment horizontal="center"/>
    </xf>
    <xf numFmtId="0" fontId="15" fillId="21" borderId="11" xfId="0" applyFont="1" applyFill="1" applyBorder="1" applyAlignment="1">
      <alignment horizontal="center"/>
    </xf>
    <xf numFmtId="0" fontId="5" fillId="21" borderId="11" xfId="0" applyFont="1" applyFill="1" applyBorder="1" applyAlignment="1">
      <alignment horizontal="center"/>
    </xf>
    <xf numFmtId="0" fontId="0" fillId="0" borderId="11" xfId="0" applyBorder="1" applyAlignment="1">
      <alignment horizontal="left"/>
    </xf>
    <xf numFmtId="0" fontId="3" fillId="14" borderId="12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 wrapText="1"/>
    </xf>
    <xf numFmtId="0" fontId="3" fillId="15" borderId="12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left"/>
    </xf>
    <xf numFmtId="0" fontId="5" fillId="16" borderId="12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3" fillId="15" borderId="16" xfId="0" applyFont="1" applyFill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 wrapText="1"/>
    </xf>
    <xf numFmtId="0" fontId="0" fillId="16" borderId="13" xfId="0" applyFill="1" applyBorder="1" applyAlignment="1">
      <alignment horizontal="center" vertical="center"/>
    </xf>
    <xf numFmtId="0" fontId="5" fillId="16" borderId="13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/>
    </xf>
    <xf numFmtId="0" fontId="23" fillId="16" borderId="11" xfId="0" applyFont="1" applyFill="1" applyBorder="1" applyAlignment="1">
      <alignment horizontal="center" vertical="center"/>
    </xf>
    <xf numFmtId="0" fontId="22" fillId="16" borderId="11" xfId="0" applyFont="1" applyFill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3" fillId="21" borderId="11" xfId="0" applyFont="1" applyFill="1" applyBorder="1" applyAlignment="1">
      <alignment horizontal="center"/>
    </xf>
    <xf numFmtId="0" fontId="22" fillId="21" borderId="11" xfId="0" applyFont="1" applyFill="1" applyBorder="1" applyAlignment="1">
      <alignment horizontal="center"/>
    </xf>
    <xf numFmtId="0" fontId="22" fillId="16" borderId="12" xfId="0" applyFont="1" applyFill="1" applyBorder="1" applyAlignment="1">
      <alignment horizontal="center" vertical="center"/>
    </xf>
    <xf numFmtId="0" fontId="22" fillId="16" borderId="13" xfId="0" applyFont="1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0" fontId="22" fillId="22" borderId="12" xfId="0" applyFont="1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32" borderId="13" xfId="0" applyFill="1" applyBorder="1" applyAlignment="1">
      <alignment horizontal="center" vertical="center"/>
    </xf>
    <xf numFmtId="0" fontId="0" fillId="32" borderId="16" xfId="0" applyFill="1" applyBorder="1" applyAlignment="1">
      <alignment horizontal="center" vertical="center"/>
    </xf>
    <xf numFmtId="0" fontId="0" fillId="32" borderId="11" xfId="0" applyFill="1" applyBorder="1" applyAlignment="1">
      <alignment horizontal="center" vertical="center"/>
    </xf>
    <xf numFmtId="0" fontId="22" fillId="22" borderId="11" xfId="0" applyFont="1" applyFill="1" applyBorder="1" applyAlignment="1">
      <alignment horizontal="center" vertical="center"/>
    </xf>
    <xf numFmtId="0" fontId="0" fillId="22" borderId="11" xfId="0" applyFill="1" applyBorder="1" applyAlignment="1">
      <alignment horizontal="center" vertical="center"/>
    </xf>
    <xf numFmtId="0" fontId="22" fillId="32" borderId="11" xfId="0" applyFont="1" applyFill="1" applyBorder="1" applyAlignment="1">
      <alignment horizontal="center" vertical="center"/>
    </xf>
    <xf numFmtId="0" fontId="22" fillId="32" borderId="12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25" fillId="16" borderId="11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3" borderId="25" xfId="0" applyFill="1" applyBorder="1" applyAlignment="1">
      <alignment horizontal="center" vertical="center"/>
    </xf>
    <xf numFmtId="0" fontId="0" fillId="32" borderId="17" xfId="0" applyFill="1" applyBorder="1" applyAlignment="1">
      <alignment horizontal="center" vertical="center"/>
    </xf>
    <xf numFmtId="0" fontId="0" fillId="0" borderId="9" xfId="0" applyBorder="1" applyAlignment="1" applyProtection="1">
      <alignment horizontal="left" vertical="center"/>
      <protection locked="0"/>
    </xf>
    <xf numFmtId="0" fontId="3" fillId="14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20" fillId="32" borderId="9" xfId="0" applyFont="1" applyFill="1" applyBorder="1" applyAlignment="1">
      <alignment horizontal="center" vertical="center"/>
    </xf>
    <xf numFmtId="0" fontId="21" fillId="32" borderId="9" xfId="0" applyFont="1" applyFill="1" applyBorder="1" applyAlignment="1">
      <alignment horizontal="center" vertical="center"/>
    </xf>
    <xf numFmtId="0" fontId="11" fillId="32" borderId="11" xfId="0" applyFont="1" applyFill="1" applyBorder="1" applyAlignment="1">
      <alignment horizontal="center" vertical="center"/>
    </xf>
    <xf numFmtId="0" fontId="22" fillId="32" borderId="17" xfId="0" applyFont="1" applyFill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3" fillId="25" borderId="18" xfId="0" applyFont="1" applyFill="1" applyBorder="1" applyAlignment="1">
      <alignment horizontal="center"/>
    </xf>
    <xf numFmtId="0" fontId="0" fillId="0" borderId="18" xfId="0" applyBorder="1"/>
    <xf numFmtId="0" fontId="18" fillId="22" borderId="27" xfId="0" applyFont="1" applyFill="1" applyBorder="1"/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3" fillId="26" borderId="18" xfId="0" applyFont="1" applyFill="1" applyBorder="1"/>
    <xf numFmtId="0" fontId="3" fillId="27" borderId="18" xfId="0" applyFont="1" applyFill="1" applyBorder="1"/>
    <xf numFmtId="0" fontId="3" fillId="16" borderId="18" xfId="0" applyFont="1" applyFill="1" applyBorder="1"/>
    <xf numFmtId="0" fontId="3" fillId="28" borderId="18" xfId="0" applyFont="1" applyFill="1" applyBorder="1"/>
    <xf numFmtId="0" fontId="3" fillId="31" borderId="18" xfId="0" applyFont="1" applyFill="1" applyBorder="1"/>
    <xf numFmtId="0" fontId="17" fillId="24" borderId="10" xfId="0" applyFont="1" applyFill="1" applyBorder="1" applyAlignment="1">
      <alignment horizontal="center" vertical="center"/>
    </xf>
    <xf numFmtId="0" fontId="17" fillId="24" borderId="14" xfId="0" applyFont="1" applyFill="1" applyBorder="1" applyAlignment="1">
      <alignment horizontal="center" vertical="center"/>
    </xf>
    <xf numFmtId="0" fontId="17" fillId="24" borderId="15" xfId="0" applyFont="1" applyFill="1" applyBorder="1" applyAlignment="1">
      <alignment horizontal="center" vertical="center"/>
    </xf>
    <xf numFmtId="0" fontId="17" fillId="24" borderId="1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3" fillId="30" borderId="19" xfId="0" applyFont="1" applyFill="1" applyBorder="1" applyAlignment="1">
      <alignment vertical="center"/>
    </xf>
    <xf numFmtId="0" fontId="3" fillId="30" borderId="22" xfId="0" applyFont="1" applyFill="1" applyBorder="1" applyAlignment="1">
      <alignment vertical="center"/>
    </xf>
    <xf numFmtId="0" fontId="3" fillId="30" borderId="24" xfId="0" applyFont="1" applyFill="1" applyBorder="1" applyAlignment="1">
      <alignment vertical="center"/>
    </xf>
    <xf numFmtId="0" fontId="3" fillId="30" borderId="20" xfId="0" applyFont="1" applyFill="1" applyBorder="1" applyAlignment="1">
      <alignment vertical="center"/>
    </xf>
    <xf numFmtId="0" fontId="3" fillId="30" borderId="18" xfId="0" applyFont="1" applyFill="1" applyBorder="1" applyAlignment="1">
      <alignment vertical="center"/>
    </xf>
    <xf numFmtId="0" fontId="3" fillId="30" borderId="25" xfId="0" applyFont="1" applyFill="1" applyBorder="1" applyAlignment="1">
      <alignment vertical="center"/>
    </xf>
    <xf numFmtId="0" fontId="0" fillId="23" borderId="20" xfId="0" applyFill="1" applyBorder="1" applyAlignment="1">
      <alignment horizontal="center" vertical="center"/>
    </xf>
    <xf numFmtId="0" fontId="3" fillId="31" borderId="19" xfId="0" applyFont="1" applyFill="1" applyBorder="1" applyAlignment="1">
      <alignment vertical="center"/>
    </xf>
    <xf numFmtId="0" fontId="3" fillId="31" borderId="24" xfId="0" applyFont="1" applyFill="1" applyBorder="1" applyAlignment="1">
      <alignment vertical="center"/>
    </xf>
    <xf numFmtId="0" fontId="3" fillId="31" borderId="20" xfId="0" applyFont="1" applyFill="1" applyBorder="1" applyAlignment="1">
      <alignment vertical="center"/>
    </xf>
    <xf numFmtId="0" fontId="3" fillId="31" borderId="25" xfId="0" applyFont="1" applyFill="1" applyBorder="1" applyAlignment="1">
      <alignment vertical="center"/>
    </xf>
    <xf numFmtId="0" fontId="18" fillId="22" borderId="27" xfId="0" applyFont="1" applyFill="1" applyBorder="1" applyAlignment="1">
      <alignment horizontal="center"/>
    </xf>
    <xf numFmtId="0" fontId="3" fillId="26" borderId="19" xfId="0" applyFont="1" applyFill="1" applyBorder="1" applyAlignment="1">
      <alignment vertical="center"/>
    </xf>
    <xf numFmtId="0" fontId="3" fillId="26" borderId="34" xfId="0" applyFont="1" applyFill="1" applyBorder="1" applyAlignment="1">
      <alignment vertical="center"/>
    </xf>
    <xf numFmtId="0" fontId="3" fillId="26" borderId="36" xfId="0" applyFont="1" applyFill="1" applyBorder="1" applyAlignment="1">
      <alignment vertical="center"/>
    </xf>
    <xf numFmtId="0" fontId="3" fillId="26" borderId="20" xfId="0" applyFont="1" applyFill="1" applyBorder="1" applyAlignment="1">
      <alignment vertical="center"/>
    </xf>
    <xf numFmtId="0" fontId="3" fillId="26" borderId="27" xfId="0" applyFont="1" applyFill="1" applyBorder="1" applyAlignment="1">
      <alignment vertical="center"/>
    </xf>
    <xf numFmtId="0" fontId="3" fillId="26" borderId="37" xfId="0" applyFont="1" applyFill="1" applyBorder="1" applyAlignment="1">
      <alignment vertical="center"/>
    </xf>
    <xf numFmtId="0" fontId="0" fillId="23" borderId="27" xfId="0" applyFill="1" applyBorder="1" applyAlignment="1">
      <alignment horizontal="center" vertical="center"/>
    </xf>
    <xf numFmtId="0" fontId="3" fillId="27" borderId="20" xfId="0" applyFont="1" applyFill="1" applyBorder="1" applyAlignment="1">
      <alignment vertical="center"/>
    </xf>
    <xf numFmtId="0" fontId="3" fillId="27" borderId="18" xfId="0" applyFont="1" applyFill="1" applyBorder="1" applyAlignment="1">
      <alignment vertical="center"/>
    </xf>
    <xf numFmtId="0" fontId="3" fillId="27" borderId="25" xfId="0" applyFont="1" applyFill="1" applyBorder="1" applyAlignment="1">
      <alignment vertical="center"/>
    </xf>
    <xf numFmtId="0" fontId="0" fillId="23" borderId="18" xfId="0" applyFill="1" applyBorder="1" applyAlignment="1">
      <alignment horizontal="center" vertical="center"/>
    </xf>
    <xf numFmtId="0" fontId="3" fillId="16" borderId="19" xfId="0" applyFont="1" applyFill="1" applyBorder="1" applyAlignment="1">
      <alignment vertical="center"/>
    </xf>
    <xf numFmtId="0" fontId="3" fillId="16" borderId="22" xfId="0" applyFont="1" applyFill="1" applyBorder="1" applyAlignment="1">
      <alignment vertical="center"/>
    </xf>
    <xf numFmtId="0" fontId="3" fillId="16" borderId="24" xfId="0" applyFont="1" applyFill="1" applyBorder="1" applyAlignment="1">
      <alignment vertical="center"/>
    </xf>
    <xf numFmtId="0" fontId="3" fillId="16" borderId="20" xfId="0" applyFont="1" applyFill="1" applyBorder="1" applyAlignment="1">
      <alignment vertical="center"/>
    </xf>
    <xf numFmtId="0" fontId="3" fillId="16" borderId="18" xfId="0" applyFont="1" applyFill="1" applyBorder="1" applyAlignment="1">
      <alignment vertical="center"/>
    </xf>
    <xf numFmtId="0" fontId="3" fillId="16" borderId="25" xfId="0" applyFont="1" applyFill="1" applyBorder="1" applyAlignment="1">
      <alignment vertical="center"/>
    </xf>
    <xf numFmtId="0" fontId="3" fillId="27" borderId="19" xfId="0" applyFont="1" applyFill="1" applyBorder="1" applyAlignment="1">
      <alignment vertical="center"/>
    </xf>
    <xf numFmtId="0" fontId="3" fillId="27" borderId="22" xfId="0" applyFont="1" applyFill="1" applyBorder="1" applyAlignment="1">
      <alignment vertical="center"/>
    </xf>
    <xf numFmtId="0" fontId="3" fillId="27" borderId="24" xfId="0" applyFont="1" applyFill="1" applyBorder="1" applyAlignment="1">
      <alignment vertical="center"/>
    </xf>
    <xf numFmtId="0" fontId="3" fillId="28" borderId="19" xfId="0" applyFont="1" applyFill="1" applyBorder="1" applyAlignment="1">
      <alignment vertical="center"/>
    </xf>
    <xf numFmtId="0" fontId="3" fillId="28" borderId="22" xfId="0" applyFont="1" applyFill="1" applyBorder="1" applyAlignment="1">
      <alignment vertical="center"/>
    </xf>
    <xf numFmtId="0" fontId="3" fillId="28" borderId="24" xfId="0" applyFont="1" applyFill="1" applyBorder="1" applyAlignment="1">
      <alignment vertical="center"/>
    </xf>
    <xf numFmtId="0" fontId="3" fillId="28" borderId="20" xfId="0" applyFont="1" applyFill="1" applyBorder="1" applyAlignment="1">
      <alignment vertical="center"/>
    </xf>
    <xf numFmtId="0" fontId="3" fillId="28" borderId="18" xfId="0" applyFont="1" applyFill="1" applyBorder="1" applyAlignment="1">
      <alignment vertical="center"/>
    </xf>
    <xf numFmtId="0" fontId="3" fillId="28" borderId="25" xfId="0" applyFont="1" applyFill="1" applyBorder="1" applyAlignment="1">
      <alignment vertical="center"/>
    </xf>
    <xf numFmtId="0" fontId="3" fillId="29" borderId="19" xfId="0" applyFont="1" applyFill="1" applyBorder="1" applyAlignment="1">
      <alignment vertical="center"/>
    </xf>
    <xf numFmtId="0" fontId="3" fillId="29" borderId="22" xfId="0" applyFont="1" applyFill="1" applyBorder="1" applyAlignment="1">
      <alignment vertical="center"/>
    </xf>
    <xf numFmtId="0" fontId="3" fillId="29" borderId="24" xfId="0" applyFont="1" applyFill="1" applyBorder="1" applyAlignment="1">
      <alignment vertical="center"/>
    </xf>
    <xf numFmtId="0" fontId="3" fillId="29" borderId="20" xfId="0" applyFont="1" applyFill="1" applyBorder="1" applyAlignment="1">
      <alignment vertical="center"/>
    </xf>
    <xf numFmtId="0" fontId="3" fillId="29" borderId="18" xfId="0" applyFont="1" applyFill="1" applyBorder="1" applyAlignment="1">
      <alignment vertical="center"/>
    </xf>
    <xf numFmtId="0" fontId="3" fillId="29" borderId="25" xfId="0" applyFont="1" applyFill="1" applyBorder="1" applyAlignment="1">
      <alignment vertical="center"/>
    </xf>
    <xf numFmtId="0" fontId="0" fillId="23" borderId="25" xfId="0" applyFill="1" applyBorder="1" applyAlignment="1">
      <alignment horizontal="center" vertical="center"/>
    </xf>
    <xf numFmtId="0" fontId="3" fillId="29" borderId="29" xfId="0" applyFont="1" applyFill="1" applyBorder="1" applyAlignment="1">
      <alignment vertical="center"/>
    </xf>
    <xf numFmtId="0" fontId="3" fillId="29" borderId="32" xfId="0" applyFont="1" applyFill="1" applyBorder="1" applyAlignment="1">
      <alignment vertical="center"/>
    </xf>
    <xf numFmtId="0" fontId="3" fillId="29" borderId="30" xfId="0" applyFont="1" applyFill="1" applyBorder="1" applyAlignment="1">
      <alignment vertical="center"/>
    </xf>
    <xf numFmtId="0" fontId="3" fillId="29" borderId="28" xfId="0" applyFont="1" applyFill="1" applyBorder="1" applyAlignment="1">
      <alignment vertical="center"/>
    </xf>
    <xf numFmtId="0" fontId="0" fillId="23" borderId="30" xfId="0" applyFill="1" applyBorder="1" applyAlignment="1">
      <alignment horizontal="center" vertical="center"/>
    </xf>
    <xf numFmtId="0" fontId="0" fillId="23" borderId="28" xfId="0" applyFill="1" applyBorder="1" applyAlignment="1">
      <alignment horizontal="center" vertical="center"/>
    </xf>
    <xf numFmtId="0" fontId="0" fillId="23" borderId="37" xfId="0" applyFill="1" applyBorder="1" applyAlignment="1">
      <alignment horizontal="center" vertical="center"/>
    </xf>
  </cellXfs>
  <cellStyles count="1">
    <cellStyle name="Normale" xfId="0" builtinId="0"/>
  </cellStyles>
  <dxfs count="99"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749961851863155"/>
        </patternFill>
      </fill>
    </dxf>
    <dxf>
      <fill>
        <patternFill>
          <bgColor theme="5" tint="-0.499984740745262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749961851863155"/>
        </patternFill>
      </fill>
    </dxf>
    <dxf>
      <fill>
        <patternFill>
          <bgColor theme="5" tint="-0.499984740745262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749961851863155"/>
        </patternFill>
      </fill>
    </dxf>
    <dxf>
      <fill>
        <patternFill>
          <bgColor theme="5" tint="-0.499984740745262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749961851863155"/>
        </patternFill>
      </fill>
    </dxf>
    <dxf>
      <fill>
        <patternFill>
          <bgColor theme="5" tint="-0.499984740745262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749961851863155"/>
        </patternFill>
      </fill>
    </dxf>
    <dxf>
      <fill>
        <patternFill>
          <bgColor theme="5" tint="-0.499984740745262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749961851863155"/>
        </patternFill>
      </fill>
    </dxf>
    <dxf>
      <fill>
        <patternFill>
          <bgColor theme="5" tint="-0.499984740745262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749961851863155"/>
        </patternFill>
      </fill>
    </dxf>
    <dxf>
      <fill>
        <patternFill>
          <bgColor theme="5" tint="-0.499984740745262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749961851863155"/>
        </patternFill>
      </fill>
    </dxf>
    <dxf>
      <fill>
        <patternFill>
          <bgColor theme="5" tint="-0.499984740745262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749961851863155"/>
        </patternFill>
      </fill>
    </dxf>
    <dxf>
      <fill>
        <patternFill>
          <bgColor theme="5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828675</xdr:colOff>
          <xdr:row>20</xdr:row>
          <xdr:rowOff>257175</xdr:rowOff>
        </xdr:from>
        <xdr:to>
          <xdr:col>14</xdr:col>
          <xdr:colOff>561975</xdr:colOff>
          <xdr:row>21</xdr:row>
          <xdr:rowOff>238125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 SCHEMA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0</xdr:colOff>
          <xdr:row>1</xdr:row>
          <xdr:rowOff>0</xdr:rowOff>
        </xdr:from>
        <xdr:to>
          <xdr:col>45</xdr:col>
          <xdr:colOff>114300</xdr:colOff>
          <xdr:row>2</xdr:row>
          <xdr:rowOff>123825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200" b="1" i="0" u="none" strike="noStrike" baseline="0">
                  <a:solidFill>
                    <a:srgbClr val="000000"/>
                  </a:solidFill>
                  <a:latin typeface="Aptos Narrow"/>
                </a:rPr>
                <a:t>STAMPA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0</xdr:colOff>
      <xdr:row>3</xdr:row>
      <xdr:rowOff>114300</xdr:rowOff>
    </xdr:from>
    <xdr:to>
      <xdr:col>46</xdr:col>
      <xdr:colOff>269875</xdr:colOff>
      <xdr:row>5</xdr:row>
      <xdr:rowOff>177800</xdr:rowOff>
    </xdr:to>
    <xdr:sp macro="AggiornaTuttoDaCalendari" textlink="">
      <xdr:nvSpPr>
        <xdr:cNvPr id="3" name="BtnAggiornaSettimanale">
          <a:extLst>
            <a:ext uri="{FF2B5EF4-FFF2-40B4-BE49-F238E27FC236}">
              <a16:creationId xmlns:a16="http://schemas.microsoft.com/office/drawing/2014/main" id="{BF1BCA7B-DB76-61FC-4A4C-36A5BDE77383}"/>
            </a:ext>
          </a:extLst>
        </xdr:cNvPr>
        <xdr:cNvSpPr/>
      </xdr:nvSpPr>
      <xdr:spPr>
        <a:xfrm>
          <a:off x="13906500" y="933450"/>
          <a:ext cx="2032000" cy="444500"/>
        </a:xfrm>
        <a:prstGeom prst="roundRect">
          <a:avLst/>
        </a:prstGeom>
        <a:solidFill>
          <a:srgbClr val="2E75B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 b="1">
              <a:solidFill>
                <a:srgbClr val="FFFFFF"/>
              </a:solidFill>
            </a:rPr>
            <a:t>Aggiorna le modifiche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1</xdr:row>
      <xdr:rowOff>6350</xdr:rowOff>
    </xdr:from>
    <xdr:to>
      <xdr:col>9</xdr:col>
      <xdr:colOff>330200</xdr:colOff>
      <xdr:row>3</xdr:row>
      <xdr:rowOff>6350</xdr:rowOff>
    </xdr:to>
    <xdr:sp macro="StampaSettimanaleOtto" textlink="">
      <xdr:nvSpPr>
        <xdr:cNvPr id="2" name="BtnStampaSettimanale">
          <a:extLst>
            <a:ext uri="{FF2B5EF4-FFF2-40B4-BE49-F238E27FC236}">
              <a16:creationId xmlns:a16="http://schemas.microsoft.com/office/drawing/2014/main" id="{48DBCCE6-C24B-E4D6-6051-46D6CABFE4A3}"/>
            </a:ext>
          </a:extLst>
        </xdr:cNvPr>
        <xdr:cNvSpPr/>
      </xdr:nvSpPr>
      <xdr:spPr>
        <a:xfrm>
          <a:off x="7696200" y="228600"/>
          <a:ext cx="1524000" cy="444500"/>
        </a:xfrm>
        <a:prstGeom prst="roundRect">
          <a:avLst/>
        </a:prstGeom>
        <a:solidFill>
          <a:srgbClr val="ADD8E6"/>
        </a:solidFill>
        <a:ln w="19050">
          <a:solidFill>
            <a:srgbClr val="87CE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 b="1">
              <a:solidFill>
                <a:srgbClr val="282828"/>
              </a:solidFill>
            </a:rPr>
            <a:t>STAMPA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4</xdr:row>
          <xdr:rowOff>47625</xdr:rowOff>
        </xdr:from>
        <xdr:to>
          <xdr:col>10</xdr:col>
          <xdr:colOff>581025</xdr:colOff>
          <xdr:row>7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VISUALIZZAZIONE LINEARE DELLE FERIE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92C4B-7ACB-4583-B357-8D0DE878C96E}">
  <sheetPr codeName="Foglio1"/>
  <dimension ref="A1:Z39"/>
  <sheetViews>
    <sheetView zoomScale="60" zoomScaleNormal="60" workbookViewId="0"/>
  </sheetViews>
  <sheetFormatPr defaultRowHeight="15" x14ac:dyDescent="0.25"/>
  <cols>
    <col min="1" max="1" width="29.5703125" customWidth="1"/>
    <col min="2" max="2" width="12.5703125" customWidth="1"/>
    <col min="6" max="6" width="19" customWidth="1"/>
    <col min="7" max="7" width="20.85546875" customWidth="1"/>
    <col min="8" max="8" width="18.5703125" customWidth="1"/>
    <col min="9" max="9" width="14.85546875" customWidth="1"/>
    <col min="10" max="10" width="11.85546875" bestFit="1" customWidth="1"/>
    <col min="13" max="13" width="12.5703125" customWidth="1"/>
    <col min="16" max="16" width="12.42578125" bestFit="1" customWidth="1"/>
    <col min="22" max="22" width="11" bestFit="1" customWidth="1"/>
    <col min="23" max="23" width="16.140625" bestFit="1" customWidth="1"/>
    <col min="24" max="25" width="18" bestFit="1" customWidth="1"/>
    <col min="26" max="26" width="11.140625" bestFit="1" customWidth="1"/>
    <col min="27" max="27" width="11.85546875" bestFit="1" customWidth="1"/>
    <col min="29" max="30" width="11.85546875" bestFit="1" customWidth="1"/>
  </cols>
  <sheetData>
    <row r="1" spans="1:26" x14ac:dyDescent="0.25">
      <c r="A1" t="s">
        <v>231</v>
      </c>
      <c r="B1">
        <v>1</v>
      </c>
    </row>
    <row r="2" spans="1:26" ht="21" x14ac:dyDescent="0.35">
      <c r="A2" t="s">
        <v>233</v>
      </c>
      <c r="B2">
        <v>2</v>
      </c>
      <c r="C2" s="12"/>
      <c r="D2" s="12"/>
      <c r="E2" s="12"/>
      <c r="F2" s="12"/>
      <c r="G2" s="11" t="s">
        <v>1</v>
      </c>
      <c r="H2" s="11" t="s">
        <v>2</v>
      </c>
      <c r="I2" s="12" t="s">
        <v>187</v>
      </c>
      <c r="J2" s="12" t="s">
        <v>186</v>
      </c>
      <c r="T2" s="12"/>
      <c r="U2" s="12"/>
      <c r="V2" s="12"/>
      <c r="W2" s="11" t="s">
        <v>1</v>
      </c>
      <c r="X2" s="11" t="s">
        <v>2</v>
      </c>
      <c r="Y2" s="12" t="s">
        <v>187</v>
      </c>
      <c r="Z2" s="12" t="s">
        <v>186</v>
      </c>
    </row>
    <row r="3" spans="1:26" ht="21" x14ac:dyDescent="0.35">
      <c r="A3" t="s">
        <v>226</v>
      </c>
      <c r="B3">
        <v>3</v>
      </c>
      <c r="C3" s="1"/>
      <c r="D3" s="7">
        <v>1</v>
      </c>
      <c r="E3">
        <f>COUNTIF(G3:J35, 1)</f>
        <v>6</v>
      </c>
      <c r="F3" s="135" t="s">
        <v>0</v>
      </c>
      <c r="G3" s="9">
        <v>1</v>
      </c>
      <c r="H3" s="10">
        <v>1</v>
      </c>
      <c r="I3" s="10"/>
      <c r="J3" s="10"/>
      <c r="T3" s="7">
        <v>1</v>
      </c>
      <c r="U3">
        <f>COUNTIF(W3:Z35, 1)</f>
        <v>5</v>
      </c>
      <c r="V3" s="135" t="s">
        <v>0</v>
      </c>
      <c r="W3" s="9">
        <v>1</v>
      </c>
      <c r="X3" s="10">
        <v>1</v>
      </c>
      <c r="Y3" s="10"/>
      <c r="Z3" s="10"/>
    </row>
    <row r="4" spans="1:26" ht="21" x14ac:dyDescent="0.35">
      <c r="A4" t="s">
        <v>232</v>
      </c>
      <c r="B4">
        <v>4</v>
      </c>
      <c r="C4" s="1"/>
      <c r="D4" s="6">
        <v>2</v>
      </c>
      <c r="E4">
        <f>COUNTIF(G3:J35, 2)</f>
        <v>6</v>
      </c>
      <c r="F4" s="136"/>
      <c r="G4" s="8">
        <v>6</v>
      </c>
      <c r="H4" s="3">
        <v>6</v>
      </c>
      <c r="I4" s="3"/>
      <c r="J4" s="3"/>
      <c r="T4" s="6">
        <v>2</v>
      </c>
      <c r="U4">
        <f>COUNTIF(W3:Z35, 2)</f>
        <v>5</v>
      </c>
      <c r="V4" s="136"/>
      <c r="W4" s="8">
        <v>2</v>
      </c>
      <c r="X4" s="3">
        <v>2</v>
      </c>
      <c r="Y4" s="3"/>
      <c r="Z4" s="3"/>
    </row>
    <row r="5" spans="1:26" ht="21" x14ac:dyDescent="0.35">
      <c r="A5" t="s">
        <v>229</v>
      </c>
      <c r="B5">
        <v>5</v>
      </c>
      <c r="C5" s="1"/>
      <c r="D5" s="2">
        <v>3</v>
      </c>
      <c r="E5">
        <f>COUNTIF(G3:J35, 3)</f>
        <v>6</v>
      </c>
      <c r="F5" s="136"/>
      <c r="G5" s="8">
        <v>10</v>
      </c>
      <c r="H5" s="3">
        <v>5</v>
      </c>
      <c r="I5" s="3"/>
      <c r="J5" s="3"/>
      <c r="T5" s="2">
        <v>3</v>
      </c>
      <c r="U5">
        <f>COUNTIF(W3:Z35, 3)</f>
        <v>5</v>
      </c>
      <c r="V5" s="136"/>
      <c r="W5" s="8">
        <v>10</v>
      </c>
      <c r="X5" s="3">
        <v>9</v>
      </c>
      <c r="Y5" s="3"/>
      <c r="Z5" s="3"/>
    </row>
    <row r="6" spans="1:26" ht="26.25" x14ac:dyDescent="0.4">
      <c r="A6" t="s">
        <v>235</v>
      </c>
      <c r="B6">
        <v>6</v>
      </c>
      <c r="C6" s="1"/>
      <c r="D6" s="4">
        <v>4</v>
      </c>
      <c r="E6">
        <f>COUNTIF(G3:J35, 4)</f>
        <v>6</v>
      </c>
      <c r="F6" s="136"/>
      <c r="G6" s="8">
        <v>3</v>
      </c>
      <c r="H6" s="3">
        <v>4</v>
      </c>
      <c r="I6" s="3"/>
      <c r="J6" s="3">
        <v>3</v>
      </c>
      <c r="M6" s="24" t="s">
        <v>177</v>
      </c>
      <c r="T6" s="4">
        <v>4</v>
      </c>
      <c r="U6">
        <f>COUNTIF(W3:Z35, 4)</f>
        <v>5</v>
      </c>
      <c r="V6" s="136"/>
      <c r="W6" s="8">
        <v>4</v>
      </c>
      <c r="X6" s="3">
        <v>3</v>
      </c>
      <c r="Y6" s="3"/>
      <c r="Z6" s="3"/>
    </row>
    <row r="7" spans="1:26" ht="21" x14ac:dyDescent="0.35">
      <c r="A7" t="s">
        <v>228</v>
      </c>
      <c r="B7">
        <v>7</v>
      </c>
      <c r="C7" s="1"/>
      <c r="D7" s="13">
        <v>5</v>
      </c>
      <c r="E7">
        <f>COUNTIF(G3:J35, 5)</f>
        <v>6</v>
      </c>
      <c r="F7" s="137"/>
      <c r="G7" s="5">
        <v>11</v>
      </c>
      <c r="H7" s="20"/>
      <c r="I7" s="20"/>
      <c r="J7" s="20"/>
      <c r="M7" t="s">
        <v>178</v>
      </c>
      <c r="T7" s="13">
        <v>5</v>
      </c>
      <c r="U7">
        <f>COUNTIF(W3:Z35, 5)</f>
        <v>6</v>
      </c>
      <c r="V7" s="137"/>
      <c r="W7" s="5">
        <v>11</v>
      </c>
      <c r="X7" s="20"/>
      <c r="Y7" s="20"/>
      <c r="Z7" s="20"/>
    </row>
    <row r="8" spans="1:26" ht="21" x14ac:dyDescent="0.35">
      <c r="A8" t="s">
        <v>234</v>
      </c>
      <c r="B8">
        <v>8</v>
      </c>
      <c r="C8" s="1"/>
      <c r="D8" s="14">
        <v>6</v>
      </c>
      <c r="E8">
        <f>COUNTIF(G3:J35, 6)</f>
        <v>6</v>
      </c>
      <c r="F8" s="135" t="s">
        <v>3</v>
      </c>
      <c r="G8" s="9">
        <v>1</v>
      </c>
      <c r="H8" s="10">
        <v>1</v>
      </c>
      <c r="I8" s="10"/>
      <c r="J8" s="10"/>
      <c r="M8" t="s">
        <v>179</v>
      </c>
      <c r="T8" s="14">
        <v>6</v>
      </c>
      <c r="U8">
        <f>COUNTIF(W3:Z35, 6)</f>
        <v>5</v>
      </c>
      <c r="V8" s="135" t="s">
        <v>3</v>
      </c>
      <c r="W8" s="9">
        <v>1</v>
      </c>
      <c r="X8" s="10">
        <v>1</v>
      </c>
      <c r="Y8" s="10"/>
      <c r="Z8" s="10"/>
    </row>
    <row r="9" spans="1:26" ht="21" x14ac:dyDescent="0.35">
      <c r="A9" t="s">
        <v>230</v>
      </c>
      <c r="B9">
        <v>9</v>
      </c>
      <c r="C9" s="1"/>
      <c r="D9" s="15">
        <v>7</v>
      </c>
      <c r="E9">
        <f>COUNTIF(G3:J35, 7)</f>
        <v>6</v>
      </c>
      <c r="F9" s="136"/>
      <c r="G9" s="8">
        <v>6</v>
      </c>
      <c r="H9" s="3">
        <v>6</v>
      </c>
      <c r="I9" s="3"/>
      <c r="J9" s="3"/>
      <c r="M9" t="s">
        <v>180</v>
      </c>
      <c r="T9" s="15">
        <v>7</v>
      </c>
      <c r="U9">
        <f>COUNTIF(W3:Z35, 7)</f>
        <v>5</v>
      </c>
      <c r="V9" s="136"/>
      <c r="W9" s="8">
        <v>2</v>
      </c>
      <c r="X9" s="3">
        <v>2</v>
      </c>
      <c r="Y9" s="3"/>
      <c r="Z9" s="3"/>
    </row>
    <row r="10" spans="1:26" ht="21" x14ac:dyDescent="0.35">
      <c r="A10" t="s">
        <v>227</v>
      </c>
      <c r="B10">
        <v>10</v>
      </c>
      <c r="C10" s="1"/>
      <c r="D10" s="16">
        <v>8</v>
      </c>
      <c r="E10">
        <f>COUNTIF(G3:J35, 8)</f>
        <v>6</v>
      </c>
      <c r="F10" s="136"/>
      <c r="G10" s="8">
        <v>10</v>
      </c>
      <c r="H10" s="3">
        <v>5</v>
      </c>
      <c r="I10" s="3">
        <v>10</v>
      </c>
      <c r="J10" s="3"/>
      <c r="M10" t="s">
        <v>181</v>
      </c>
      <c r="T10" s="16">
        <v>8</v>
      </c>
      <c r="U10">
        <f>COUNTIF(W3:Z35, 8)</f>
        <v>6</v>
      </c>
      <c r="V10" s="136"/>
      <c r="W10" s="8">
        <v>5</v>
      </c>
      <c r="X10" s="3">
        <v>8</v>
      </c>
      <c r="Y10" s="3"/>
      <c r="Z10" s="3"/>
    </row>
    <row r="11" spans="1:26" ht="21" x14ac:dyDescent="0.35">
      <c r="A11" t="s">
        <v>213</v>
      </c>
      <c r="B11">
        <v>11</v>
      </c>
      <c r="C11" s="1"/>
      <c r="D11" s="17">
        <v>9</v>
      </c>
      <c r="E11">
        <f>COUNTIF(G3:J35, 9)</f>
        <v>6</v>
      </c>
      <c r="F11" s="136"/>
      <c r="G11" s="8">
        <v>3</v>
      </c>
      <c r="H11" s="3">
        <v>4</v>
      </c>
      <c r="I11" s="3"/>
      <c r="J11" s="3"/>
      <c r="M11" t="s">
        <v>182</v>
      </c>
      <c r="T11" s="17">
        <v>9</v>
      </c>
      <c r="U11">
        <f>COUNTIF(W3:Z35, 9)</f>
        <v>5</v>
      </c>
      <c r="V11" s="136"/>
      <c r="W11" s="8">
        <v>4</v>
      </c>
      <c r="X11" s="3">
        <v>3</v>
      </c>
      <c r="Y11" s="3"/>
      <c r="Z11" s="3"/>
    </row>
    <row r="12" spans="1:26" ht="21" x14ac:dyDescent="0.35">
      <c r="C12" s="1"/>
      <c r="D12" s="18">
        <v>10</v>
      </c>
      <c r="E12">
        <f>COUNTIF(G3:J35, 10)</f>
        <v>6</v>
      </c>
      <c r="F12" s="137"/>
      <c r="G12" s="5">
        <v>11</v>
      </c>
      <c r="H12" s="20"/>
      <c r="I12" s="20"/>
      <c r="J12" s="20"/>
      <c r="T12" s="18">
        <v>10</v>
      </c>
      <c r="U12">
        <f>COUNTIF(W3:Z35, 10)</f>
        <v>5</v>
      </c>
      <c r="V12" s="137"/>
      <c r="W12" s="5">
        <v>11</v>
      </c>
      <c r="X12" s="20"/>
      <c r="Y12" s="20"/>
      <c r="Z12" s="20"/>
    </row>
    <row r="13" spans="1:26" ht="21" x14ac:dyDescent="0.35">
      <c r="C13" s="1"/>
      <c r="D13" s="19" t="s">
        <v>9</v>
      </c>
      <c r="E13">
        <f>COUNTIF(G3:J35, 11)</f>
        <v>7</v>
      </c>
      <c r="F13" s="135" t="s">
        <v>4</v>
      </c>
      <c r="G13" s="9">
        <v>5</v>
      </c>
      <c r="H13" s="10">
        <v>5</v>
      </c>
      <c r="I13" s="10"/>
      <c r="J13" s="10"/>
      <c r="T13" s="19" t="s">
        <v>9</v>
      </c>
      <c r="U13">
        <f>COUNTIF(W3:Z35, 11)</f>
        <v>7</v>
      </c>
      <c r="V13" s="135" t="s">
        <v>4</v>
      </c>
      <c r="W13" s="9">
        <v>8</v>
      </c>
      <c r="X13" s="10">
        <v>8</v>
      </c>
      <c r="Y13" s="10"/>
      <c r="Z13" s="10"/>
    </row>
    <row r="14" spans="1:26" ht="21" x14ac:dyDescent="0.35">
      <c r="A14" s="23"/>
      <c r="B14" s="23"/>
      <c r="C14" s="1"/>
      <c r="D14" s="1"/>
      <c r="E14" s="1"/>
      <c r="F14" s="136"/>
      <c r="G14" s="8">
        <v>4</v>
      </c>
      <c r="H14" s="3">
        <v>4</v>
      </c>
      <c r="I14" s="3"/>
      <c r="J14" s="3"/>
      <c r="M14" s="25" t="s">
        <v>194</v>
      </c>
      <c r="T14" s="1"/>
      <c r="U14" s="1"/>
      <c r="V14" s="136"/>
      <c r="W14" s="8">
        <v>5</v>
      </c>
      <c r="X14" s="3">
        <v>5</v>
      </c>
      <c r="Y14" s="3"/>
      <c r="Z14" s="3"/>
    </row>
    <row r="15" spans="1:26" ht="21" x14ac:dyDescent="0.35">
      <c r="C15" s="1"/>
      <c r="D15" s="1"/>
      <c r="E15" s="1"/>
      <c r="F15" s="136"/>
      <c r="G15" s="8">
        <v>10</v>
      </c>
      <c r="H15" s="3">
        <v>1</v>
      </c>
      <c r="I15" s="3">
        <v>1</v>
      </c>
      <c r="J15" s="3"/>
      <c r="M15" s="27" t="s">
        <v>195</v>
      </c>
      <c r="N15" t="s">
        <v>238</v>
      </c>
      <c r="P15" s="27" t="s">
        <v>196</v>
      </c>
      <c r="Q15">
        <v>2026</v>
      </c>
      <c r="T15" s="1"/>
      <c r="U15" s="1"/>
      <c r="V15" s="136"/>
      <c r="W15" s="8">
        <v>1</v>
      </c>
      <c r="X15" s="3">
        <v>2</v>
      </c>
      <c r="Y15" s="3"/>
      <c r="Z15" s="3"/>
    </row>
    <row r="16" spans="1:26" ht="21" x14ac:dyDescent="0.35">
      <c r="C16" s="1"/>
      <c r="D16" s="1"/>
      <c r="E16" s="1"/>
      <c r="F16" s="136"/>
      <c r="G16" s="8">
        <v>3</v>
      </c>
      <c r="H16" s="3">
        <v>6</v>
      </c>
      <c r="I16" s="3">
        <v>6</v>
      </c>
      <c r="J16" s="3"/>
      <c r="T16" s="1"/>
      <c r="U16" s="1"/>
      <c r="V16" s="136"/>
      <c r="W16" s="8">
        <v>4</v>
      </c>
      <c r="X16" s="3">
        <v>3</v>
      </c>
      <c r="Y16" s="3"/>
      <c r="Z16" s="3"/>
    </row>
    <row r="17" spans="3:26" ht="21" x14ac:dyDescent="0.35">
      <c r="C17" s="1"/>
      <c r="D17" s="1"/>
      <c r="E17" s="1"/>
      <c r="F17" s="137"/>
      <c r="G17" s="5">
        <v>11</v>
      </c>
      <c r="H17" s="20"/>
      <c r="I17" s="20"/>
      <c r="J17" s="20"/>
      <c r="M17" s="28" t="s">
        <v>197</v>
      </c>
      <c r="N17" t="s">
        <v>199</v>
      </c>
      <c r="P17" s="28" t="s">
        <v>198</v>
      </c>
      <c r="Q17">
        <v>2026</v>
      </c>
      <c r="T17" s="1"/>
      <c r="U17" s="1"/>
      <c r="V17" s="137"/>
      <c r="W17" s="5">
        <v>11</v>
      </c>
      <c r="X17" s="20"/>
      <c r="Y17" s="20"/>
      <c r="Z17" s="20"/>
    </row>
    <row r="18" spans="3:26" ht="21" x14ac:dyDescent="0.35">
      <c r="C18" s="1"/>
      <c r="D18" s="1"/>
      <c r="E18" s="1"/>
      <c r="F18" s="135" t="s">
        <v>5</v>
      </c>
      <c r="G18" s="9">
        <v>5</v>
      </c>
      <c r="H18" s="10">
        <v>5</v>
      </c>
      <c r="I18" s="10"/>
      <c r="J18" s="10"/>
      <c r="T18" s="1"/>
      <c r="U18" s="1"/>
      <c r="V18" s="135" t="s">
        <v>5</v>
      </c>
      <c r="W18" s="9">
        <v>5</v>
      </c>
      <c r="X18" s="10">
        <v>5</v>
      </c>
      <c r="Y18" s="10"/>
      <c r="Z18" s="10"/>
    </row>
    <row r="19" spans="3:26" ht="21" x14ac:dyDescent="0.35">
      <c r="C19" s="1"/>
      <c r="D19" s="1"/>
      <c r="E19" s="1"/>
      <c r="F19" s="136"/>
      <c r="G19" s="8">
        <v>4</v>
      </c>
      <c r="H19" s="3">
        <v>4</v>
      </c>
      <c r="I19" s="3"/>
      <c r="J19" s="3"/>
      <c r="T19" s="1"/>
      <c r="U19" s="1"/>
      <c r="V19" s="136"/>
      <c r="W19" s="8">
        <v>8</v>
      </c>
      <c r="X19" s="3">
        <v>8</v>
      </c>
      <c r="Y19" s="3"/>
      <c r="Z19" s="3"/>
    </row>
    <row r="20" spans="3:26" ht="21" x14ac:dyDescent="0.35">
      <c r="C20" s="1"/>
      <c r="D20" s="1"/>
      <c r="E20" s="1"/>
      <c r="F20" s="136"/>
      <c r="G20" s="8">
        <v>10</v>
      </c>
      <c r="H20" s="3">
        <v>2</v>
      </c>
      <c r="I20" s="3">
        <v>2</v>
      </c>
      <c r="J20" s="3"/>
      <c r="P20" t="s">
        <v>183</v>
      </c>
      <c r="T20" s="1"/>
      <c r="U20" s="1"/>
      <c r="V20" s="136"/>
      <c r="W20" s="8">
        <v>6</v>
      </c>
      <c r="X20" s="3">
        <v>7</v>
      </c>
      <c r="Y20" s="3"/>
      <c r="Z20" s="3"/>
    </row>
    <row r="21" spans="3:26" ht="21" x14ac:dyDescent="0.35">
      <c r="C21" s="1"/>
      <c r="D21" s="1"/>
      <c r="E21" s="1"/>
      <c r="F21" s="136"/>
      <c r="G21" s="8">
        <v>3</v>
      </c>
      <c r="H21" s="3">
        <v>9</v>
      </c>
      <c r="I21" s="3">
        <v>9</v>
      </c>
      <c r="J21" s="3"/>
      <c r="T21" s="1"/>
      <c r="U21" s="1"/>
      <c r="V21" s="136"/>
      <c r="W21" s="8">
        <v>4</v>
      </c>
      <c r="X21" s="3">
        <v>3</v>
      </c>
      <c r="Y21" s="3"/>
      <c r="Z21" s="3"/>
    </row>
    <row r="22" spans="3:26" ht="21" x14ac:dyDescent="0.35">
      <c r="C22" s="1"/>
      <c r="D22" s="1"/>
      <c r="E22" s="1"/>
      <c r="F22" s="137"/>
      <c r="G22" s="5">
        <v>11</v>
      </c>
      <c r="H22" s="20"/>
      <c r="I22" s="20"/>
      <c r="J22" s="20"/>
      <c r="T22" s="1"/>
      <c r="U22" s="1"/>
      <c r="V22" s="137"/>
      <c r="W22" s="5">
        <v>11</v>
      </c>
      <c r="X22" s="20"/>
      <c r="Y22" s="20"/>
      <c r="Z22" s="20"/>
    </row>
    <row r="23" spans="3:26" ht="21" x14ac:dyDescent="0.35">
      <c r="C23" s="1"/>
      <c r="D23" s="1"/>
      <c r="E23" s="1"/>
      <c r="F23" s="135" t="s">
        <v>6</v>
      </c>
      <c r="G23" s="9">
        <v>9</v>
      </c>
      <c r="H23" s="10">
        <v>9</v>
      </c>
      <c r="I23" s="10"/>
      <c r="J23" s="10"/>
      <c r="T23" s="1"/>
      <c r="U23" s="1"/>
      <c r="V23" s="135" t="s">
        <v>6</v>
      </c>
      <c r="W23" s="9">
        <v>6</v>
      </c>
      <c r="X23" s="10">
        <v>6</v>
      </c>
      <c r="Y23" s="10"/>
      <c r="Z23" s="10"/>
    </row>
    <row r="24" spans="3:26" ht="21" x14ac:dyDescent="0.35">
      <c r="C24" s="1"/>
      <c r="D24" s="1"/>
      <c r="E24" s="1"/>
      <c r="F24" s="136"/>
      <c r="G24" s="8">
        <v>2</v>
      </c>
      <c r="H24" s="3">
        <v>2</v>
      </c>
      <c r="I24" s="3"/>
      <c r="J24" s="3"/>
      <c r="T24" s="1"/>
      <c r="U24" s="1"/>
      <c r="V24" s="136"/>
      <c r="W24" s="8">
        <v>7</v>
      </c>
      <c r="X24" s="3">
        <v>7</v>
      </c>
      <c r="Y24" s="3"/>
      <c r="Z24" s="3"/>
    </row>
    <row r="25" spans="3:26" ht="21" x14ac:dyDescent="0.35">
      <c r="C25" s="1"/>
      <c r="D25" s="1"/>
      <c r="E25" s="1"/>
      <c r="F25" s="136"/>
      <c r="G25" s="8">
        <v>10</v>
      </c>
      <c r="H25" s="3">
        <v>8</v>
      </c>
      <c r="I25" s="3">
        <v>8</v>
      </c>
      <c r="J25" s="3"/>
      <c r="T25" s="1"/>
      <c r="U25" s="1"/>
      <c r="V25" s="136"/>
      <c r="W25" s="8">
        <v>5</v>
      </c>
      <c r="X25" s="3">
        <v>8</v>
      </c>
      <c r="Y25" s="3"/>
      <c r="Z25" s="3"/>
    </row>
    <row r="26" spans="3:26" ht="21" x14ac:dyDescent="0.35">
      <c r="C26" s="1"/>
      <c r="D26" s="1"/>
      <c r="E26" s="1"/>
      <c r="F26" s="136"/>
      <c r="G26" s="8">
        <v>3</v>
      </c>
      <c r="H26" s="3">
        <v>7</v>
      </c>
      <c r="I26" s="3">
        <v>7</v>
      </c>
      <c r="J26" s="3"/>
      <c r="T26" s="1"/>
      <c r="U26" s="1"/>
      <c r="V26" s="136"/>
      <c r="W26" s="8">
        <v>4</v>
      </c>
      <c r="X26" s="3">
        <v>3</v>
      </c>
      <c r="Y26" s="3"/>
      <c r="Z26" s="3"/>
    </row>
    <row r="27" spans="3:26" ht="21" x14ac:dyDescent="0.35">
      <c r="C27" s="1"/>
      <c r="D27" s="1"/>
      <c r="E27" s="1"/>
      <c r="F27" s="137"/>
      <c r="G27" s="5">
        <v>11</v>
      </c>
      <c r="H27" s="20"/>
      <c r="I27" s="20"/>
      <c r="J27" s="20"/>
      <c r="T27" s="1"/>
      <c r="U27" s="1"/>
      <c r="V27" s="137"/>
      <c r="W27" s="5">
        <v>11</v>
      </c>
      <c r="X27" s="20"/>
      <c r="Y27" s="20"/>
      <c r="Z27" s="20"/>
    </row>
    <row r="28" spans="3:26" ht="21" x14ac:dyDescent="0.35">
      <c r="C28" s="1"/>
      <c r="D28" s="1"/>
      <c r="E28" s="1"/>
      <c r="F28" s="135" t="s">
        <v>7</v>
      </c>
      <c r="G28" s="9">
        <v>8</v>
      </c>
      <c r="H28" s="10">
        <v>8</v>
      </c>
      <c r="I28" s="10"/>
      <c r="J28" s="10"/>
      <c r="T28" s="1"/>
      <c r="U28" s="1"/>
      <c r="V28" s="135" t="s">
        <v>7</v>
      </c>
      <c r="W28" s="9">
        <v>6</v>
      </c>
      <c r="X28" s="10">
        <v>6</v>
      </c>
      <c r="Y28" s="10"/>
      <c r="Z28" s="10"/>
    </row>
    <row r="29" spans="3:26" ht="21" x14ac:dyDescent="0.35">
      <c r="C29" s="1"/>
      <c r="D29" s="1"/>
      <c r="E29" s="1"/>
      <c r="F29" s="136"/>
      <c r="G29" s="8">
        <v>7</v>
      </c>
      <c r="H29" s="3">
        <v>7</v>
      </c>
      <c r="I29" s="3"/>
      <c r="J29" s="3"/>
      <c r="T29" s="1"/>
      <c r="U29" s="1"/>
      <c r="V29" s="136"/>
      <c r="W29" s="8">
        <v>7</v>
      </c>
      <c r="X29" s="3">
        <v>7</v>
      </c>
      <c r="Y29" s="3"/>
      <c r="Z29" s="3"/>
    </row>
    <row r="30" spans="3:26" ht="21" x14ac:dyDescent="0.35">
      <c r="C30" s="1"/>
      <c r="D30" s="1"/>
      <c r="E30" s="1"/>
      <c r="F30" s="136"/>
      <c r="G30" s="8">
        <v>2</v>
      </c>
      <c r="H30" s="3">
        <v>2</v>
      </c>
      <c r="I30" s="3"/>
      <c r="J30" s="3"/>
      <c r="T30" s="1"/>
      <c r="U30" s="1"/>
      <c r="V30" s="136"/>
      <c r="W30" s="8">
        <v>10</v>
      </c>
      <c r="X30" s="3">
        <v>10</v>
      </c>
      <c r="Y30" s="3"/>
      <c r="Z30" s="3"/>
    </row>
    <row r="31" spans="3:26" ht="21" x14ac:dyDescent="0.35">
      <c r="C31" s="1"/>
      <c r="D31" s="1"/>
      <c r="E31" s="1"/>
      <c r="F31" s="136"/>
      <c r="G31" s="8">
        <v>9</v>
      </c>
      <c r="H31" s="8">
        <v>9</v>
      </c>
      <c r="I31" s="8"/>
      <c r="J31" s="8"/>
      <c r="T31" s="1"/>
      <c r="U31" s="1"/>
      <c r="V31" s="136"/>
      <c r="W31" s="8">
        <v>9</v>
      </c>
      <c r="X31" s="8">
        <v>9</v>
      </c>
      <c r="Y31" s="8"/>
      <c r="Z31" s="8"/>
    </row>
    <row r="32" spans="3:26" ht="21" x14ac:dyDescent="0.35">
      <c r="C32" s="1"/>
      <c r="D32" s="1"/>
      <c r="E32" s="1"/>
      <c r="F32" s="137"/>
      <c r="G32" s="20">
        <v>11</v>
      </c>
      <c r="H32" s="20"/>
      <c r="I32" s="20"/>
      <c r="J32" s="20"/>
      <c r="T32" s="1"/>
      <c r="U32" s="1"/>
      <c r="V32" s="137"/>
      <c r="W32" s="20">
        <v>11</v>
      </c>
      <c r="X32" s="20"/>
      <c r="Y32" s="20"/>
      <c r="Z32" s="20"/>
    </row>
    <row r="33" spans="3:26" ht="21" x14ac:dyDescent="0.35">
      <c r="C33" s="1"/>
      <c r="D33" s="1"/>
      <c r="E33" s="1"/>
      <c r="F33" s="135" t="s">
        <v>8</v>
      </c>
      <c r="G33" s="9">
        <v>8</v>
      </c>
      <c r="H33" s="10">
        <v>8</v>
      </c>
      <c r="I33" s="10"/>
      <c r="J33" s="10"/>
      <c r="T33" s="1"/>
      <c r="U33" s="1"/>
      <c r="V33" s="135" t="s">
        <v>8</v>
      </c>
      <c r="W33" s="9">
        <v>10</v>
      </c>
      <c r="X33" s="10">
        <v>10</v>
      </c>
      <c r="Y33" s="10"/>
      <c r="Z33" s="10"/>
    </row>
    <row r="34" spans="3:26" ht="21" x14ac:dyDescent="0.35">
      <c r="C34" s="1"/>
      <c r="D34" s="1"/>
      <c r="E34" s="1"/>
      <c r="F34" s="136"/>
      <c r="G34" s="8">
        <v>7</v>
      </c>
      <c r="H34" s="3">
        <v>7</v>
      </c>
      <c r="I34" s="3"/>
      <c r="J34" s="3"/>
      <c r="T34" s="1"/>
      <c r="U34" s="1"/>
      <c r="V34" s="136"/>
      <c r="W34" s="8">
        <v>9</v>
      </c>
      <c r="X34" s="3">
        <v>9</v>
      </c>
      <c r="Y34" s="3"/>
      <c r="Z34" s="3"/>
    </row>
    <row r="35" spans="3:26" ht="21" x14ac:dyDescent="0.35">
      <c r="C35" s="1"/>
      <c r="D35" s="1"/>
      <c r="E35" s="1"/>
      <c r="F35" s="137"/>
      <c r="G35" s="20">
        <v>11</v>
      </c>
      <c r="H35" s="20"/>
      <c r="I35" s="20"/>
      <c r="J35" s="20"/>
      <c r="T35" s="1"/>
      <c r="U35" s="1"/>
      <c r="V35" s="137"/>
      <c r="W35" s="20">
        <v>11</v>
      </c>
      <c r="X35" s="20"/>
      <c r="Y35" s="20"/>
      <c r="Z35" s="20"/>
    </row>
    <row r="37" spans="3:26" ht="15" customHeight="1" x14ac:dyDescent="0.25">
      <c r="F37" s="134" t="s">
        <v>202</v>
      </c>
      <c r="G37" s="134"/>
      <c r="H37" s="134"/>
      <c r="I37" s="134"/>
      <c r="J37" s="134"/>
      <c r="V37" s="134" t="s">
        <v>203</v>
      </c>
      <c r="W37" s="134"/>
      <c r="X37" s="134"/>
      <c r="Y37" s="134"/>
      <c r="Z37" s="134"/>
    </row>
    <row r="38" spans="3:26" ht="26.25" customHeight="1" x14ac:dyDescent="0.25">
      <c r="F38" s="134"/>
      <c r="G38" s="134"/>
      <c r="H38" s="134"/>
      <c r="I38" s="134"/>
      <c r="J38" s="134"/>
      <c r="V38" s="134"/>
      <c r="W38" s="134"/>
      <c r="X38" s="134"/>
      <c r="Y38" s="134"/>
      <c r="Z38" s="134"/>
    </row>
    <row r="39" spans="3:26" ht="24" x14ac:dyDescent="0.25">
      <c r="G39" s="21" t="s">
        <v>200</v>
      </c>
      <c r="W39" s="21" t="s">
        <v>201</v>
      </c>
    </row>
  </sheetData>
  <mergeCells count="16">
    <mergeCell ref="V28:V32"/>
    <mergeCell ref="V33:V35"/>
    <mergeCell ref="V37:Z38"/>
    <mergeCell ref="V3:V7"/>
    <mergeCell ref="V8:V12"/>
    <mergeCell ref="V13:V17"/>
    <mergeCell ref="V18:V22"/>
    <mergeCell ref="V23:V27"/>
    <mergeCell ref="F37:J38"/>
    <mergeCell ref="F33:F35"/>
    <mergeCell ref="F28:F32"/>
    <mergeCell ref="F3:F7"/>
    <mergeCell ref="F8:F12"/>
    <mergeCell ref="F13:F17"/>
    <mergeCell ref="F18:F22"/>
    <mergeCell ref="F23:F27"/>
  </mergeCells>
  <phoneticPr fontId="13" type="noConversion"/>
  <conditionalFormatting sqref="C3:C35">
    <cfRule type="cellIs" dxfId="98" priority="463" operator="equal">
      <formula>11</formula>
    </cfRule>
    <cfRule type="cellIs" dxfId="97" priority="464" operator="equal">
      <formula>10</formula>
    </cfRule>
    <cfRule type="cellIs" dxfId="96" priority="465" operator="equal">
      <formula>9</formula>
    </cfRule>
    <cfRule type="cellIs" dxfId="95" priority="466" operator="equal">
      <formula>8</formula>
    </cfRule>
    <cfRule type="cellIs" dxfId="94" priority="467" operator="equal">
      <formula>7</formula>
    </cfRule>
    <cfRule type="cellIs" dxfId="93" priority="468" operator="equal">
      <formula>6</formula>
    </cfRule>
    <cfRule type="cellIs" dxfId="92" priority="469" operator="equal">
      <formula>5</formula>
    </cfRule>
    <cfRule type="cellIs" dxfId="91" priority="470" operator="equal">
      <formula>4</formula>
    </cfRule>
    <cfRule type="cellIs" dxfId="90" priority="471" operator="equal">
      <formula>3</formula>
    </cfRule>
    <cfRule type="cellIs" dxfId="89" priority="472" operator="equal">
      <formula>1</formula>
    </cfRule>
    <cfRule type="cellIs" dxfId="88" priority="473" operator="equal">
      <formula>2</formula>
    </cfRule>
  </conditionalFormatting>
  <conditionalFormatting sqref="F3:F13 D14:F35">
    <cfRule type="cellIs" dxfId="87" priority="232" operator="equal">
      <formula>11</formula>
    </cfRule>
    <cfRule type="cellIs" dxfId="86" priority="233" operator="equal">
      <formula>10</formula>
    </cfRule>
    <cfRule type="cellIs" dxfId="85" priority="234" operator="equal">
      <formula>9</formula>
    </cfRule>
    <cfRule type="cellIs" dxfId="84" priority="235" operator="equal">
      <formula>8</formula>
    </cfRule>
    <cfRule type="cellIs" dxfId="83" priority="236" operator="equal">
      <formula>7</formula>
    </cfRule>
    <cfRule type="cellIs" dxfId="82" priority="237" operator="equal">
      <formula>6</formula>
    </cfRule>
    <cfRule type="cellIs" dxfId="81" priority="238" operator="equal">
      <formula>5</formula>
    </cfRule>
    <cfRule type="cellIs" dxfId="80" priority="239" operator="equal">
      <formula>4</formula>
    </cfRule>
    <cfRule type="cellIs" dxfId="79" priority="240" operator="equal">
      <formula>3</formula>
    </cfRule>
    <cfRule type="cellIs" dxfId="78" priority="241" operator="equal">
      <formula>1</formula>
    </cfRule>
    <cfRule type="cellIs" dxfId="77" priority="242" operator="equal">
      <formula>2</formula>
    </cfRule>
  </conditionalFormatting>
  <conditionalFormatting sqref="I3:I35">
    <cfRule type="cellIs" dxfId="76" priority="210" operator="equal">
      <formula>11</formula>
    </cfRule>
    <cfRule type="cellIs" dxfId="75" priority="211" operator="equal">
      <formula>10</formula>
    </cfRule>
    <cfRule type="cellIs" dxfId="74" priority="212" operator="equal">
      <formula>9</formula>
    </cfRule>
    <cfRule type="cellIs" dxfId="73" priority="213" operator="equal">
      <formula>8</formula>
    </cfRule>
    <cfRule type="cellIs" dxfId="72" priority="214" operator="equal">
      <formula>7</formula>
    </cfRule>
    <cfRule type="cellIs" dxfId="71" priority="215" operator="equal">
      <formula>6</formula>
    </cfRule>
    <cfRule type="cellIs" dxfId="70" priority="216" operator="equal">
      <formula>5</formula>
    </cfRule>
    <cfRule type="cellIs" dxfId="69" priority="217" operator="equal">
      <formula>4</formula>
    </cfRule>
    <cfRule type="cellIs" dxfId="68" priority="218" operator="equal">
      <formula>3</formula>
    </cfRule>
    <cfRule type="cellIs" dxfId="67" priority="219" operator="equal">
      <formula>1</formula>
    </cfRule>
    <cfRule type="cellIs" dxfId="66" priority="220" operator="equal">
      <formula>2</formula>
    </cfRule>
  </conditionalFormatting>
  <conditionalFormatting sqref="J3:J35">
    <cfRule type="cellIs" dxfId="65" priority="199" operator="equal">
      <formula>11</formula>
    </cfRule>
    <cfRule type="cellIs" dxfId="64" priority="200" operator="equal">
      <formula>10</formula>
    </cfRule>
    <cfRule type="cellIs" dxfId="63" priority="201" operator="equal">
      <formula>9</formula>
    </cfRule>
    <cfRule type="cellIs" dxfId="62" priority="202" operator="equal">
      <formula>8</formula>
    </cfRule>
    <cfRule type="cellIs" dxfId="61" priority="203" operator="equal">
      <formula>7</formula>
    </cfRule>
    <cfRule type="cellIs" dxfId="60" priority="204" operator="equal">
      <formula>6</formula>
    </cfRule>
    <cfRule type="cellIs" dxfId="59" priority="205" operator="equal">
      <formula>5</formula>
    </cfRule>
    <cfRule type="cellIs" dxfId="58" priority="206" operator="equal">
      <formula>4</formula>
    </cfRule>
    <cfRule type="cellIs" dxfId="57" priority="207" operator="equal">
      <formula>3</formula>
    </cfRule>
    <cfRule type="cellIs" dxfId="56" priority="208" operator="equal">
      <formula>1</formula>
    </cfRule>
    <cfRule type="cellIs" dxfId="55" priority="209" operator="equal">
      <formula>2</formula>
    </cfRule>
  </conditionalFormatting>
  <conditionalFormatting sqref="V3:V13 T14:V35">
    <cfRule type="cellIs" dxfId="54" priority="56" operator="equal">
      <formula>11</formula>
    </cfRule>
    <cfRule type="cellIs" dxfId="53" priority="57" operator="equal">
      <formula>10</formula>
    </cfRule>
    <cfRule type="cellIs" dxfId="52" priority="58" operator="equal">
      <formula>9</formula>
    </cfRule>
    <cfRule type="cellIs" dxfId="51" priority="59" operator="equal">
      <formula>8</formula>
    </cfRule>
    <cfRule type="cellIs" dxfId="50" priority="60" operator="equal">
      <formula>7</formula>
    </cfRule>
    <cfRule type="cellIs" dxfId="49" priority="61" operator="equal">
      <formula>6</formula>
    </cfRule>
    <cfRule type="cellIs" dxfId="48" priority="62" operator="equal">
      <formula>5</formula>
    </cfRule>
    <cfRule type="cellIs" dxfId="47" priority="63" operator="equal">
      <formula>4</formula>
    </cfRule>
    <cfRule type="cellIs" dxfId="46" priority="64" operator="equal">
      <formula>3</formula>
    </cfRule>
    <cfRule type="cellIs" dxfId="45" priority="65" operator="equal">
      <formula>1</formula>
    </cfRule>
    <cfRule type="cellIs" dxfId="44" priority="66" operator="equal">
      <formula>2</formula>
    </cfRule>
  </conditionalFormatting>
  <conditionalFormatting sqref="Y3:Y35">
    <cfRule type="cellIs" dxfId="43" priority="34" operator="equal">
      <formula>11</formula>
    </cfRule>
    <cfRule type="cellIs" dxfId="42" priority="35" operator="equal">
      <formula>10</formula>
    </cfRule>
    <cfRule type="cellIs" dxfId="41" priority="36" operator="equal">
      <formula>9</formula>
    </cfRule>
    <cfRule type="cellIs" dxfId="40" priority="37" operator="equal">
      <formula>8</formula>
    </cfRule>
    <cfRule type="cellIs" dxfId="39" priority="38" operator="equal">
      <formula>7</formula>
    </cfRule>
    <cfRule type="cellIs" dxfId="38" priority="39" operator="equal">
      <formula>6</formula>
    </cfRule>
    <cfRule type="cellIs" dxfId="37" priority="40" operator="equal">
      <formula>5</formula>
    </cfRule>
    <cfRule type="cellIs" dxfId="36" priority="41" operator="equal">
      <formula>4</formula>
    </cfRule>
    <cfRule type="cellIs" dxfId="35" priority="42" operator="equal">
      <formula>3</formula>
    </cfRule>
    <cfRule type="cellIs" dxfId="34" priority="43" operator="equal">
      <formula>1</formula>
    </cfRule>
    <cfRule type="cellIs" dxfId="33" priority="44" operator="equal">
      <formula>2</formula>
    </cfRule>
  </conditionalFormatting>
  <conditionalFormatting sqref="Z3:Z35">
    <cfRule type="cellIs" dxfId="32" priority="23" operator="equal">
      <formula>11</formula>
    </cfRule>
    <cfRule type="cellIs" dxfId="31" priority="24" operator="equal">
      <formula>10</formula>
    </cfRule>
    <cfRule type="cellIs" dxfId="30" priority="25" operator="equal">
      <formula>9</formula>
    </cfRule>
    <cfRule type="cellIs" dxfId="29" priority="26" operator="equal">
      <formula>8</formula>
    </cfRule>
    <cfRule type="cellIs" dxfId="28" priority="27" operator="equal">
      <formula>7</formula>
    </cfRule>
    <cfRule type="cellIs" dxfId="27" priority="28" operator="equal">
      <formula>6</formula>
    </cfRule>
    <cfRule type="cellIs" dxfId="26" priority="29" operator="equal">
      <formula>5</formula>
    </cfRule>
    <cfRule type="cellIs" dxfId="25" priority="30" operator="equal">
      <formula>4</formula>
    </cfRule>
    <cfRule type="cellIs" dxfId="24" priority="31" operator="equal">
      <formula>3</formula>
    </cfRule>
    <cfRule type="cellIs" dxfId="23" priority="32" operator="equal">
      <formula>1</formula>
    </cfRule>
    <cfRule type="cellIs" dxfId="22" priority="33" operator="equal">
      <formula>2</formula>
    </cfRule>
  </conditionalFormatting>
  <conditionalFormatting sqref="W3:X35">
    <cfRule type="cellIs" dxfId="21" priority="12" operator="equal">
      <formula>11</formula>
    </cfRule>
    <cfRule type="cellIs" dxfId="20" priority="13" operator="equal">
      <formula>10</formula>
    </cfRule>
    <cfRule type="cellIs" dxfId="19" priority="14" operator="equal">
      <formula>9</formula>
    </cfRule>
    <cfRule type="cellIs" dxfId="18" priority="15" operator="equal">
      <formula>8</formula>
    </cfRule>
    <cfRule type="cellIs" dxfId="17" priority="16" operator="equal">
      <formula>7</formula>
    </cfRule>
    <cfRule type="cellIs" dxfId="16" priority="17" operator="equal">
      <formula>6</formula>
    </cfRule>
    <cfRule type="cellIs" dxfId="15" priority="18" operator="equal">
      <formula>5</formula>
    </cfRule>
    <cfRule type="cellIs" dxfId="14" priority="19" operator="equal">
      <formula>4</formula>
    </cfRule>
    <cfRule type="cellIs" dxfId="13" priority="20" operator="equal">
      <formula>3</formula>
    </cfRule>
    <cfRule type="cellIs" dxfId="12" priority="21" operator="equal">
      <formula>1</formula>
    </cfRule>
    <cfRule type="cellIs" dxfId="11" priority="22" operator="equal">
      <formula>2</formula>
    </cfRule>
  </conditionalFormatting>
  <conditionalFormatting sqref="G3:H35">
    <cfRule type="cellIs" dxfId="10" priority="1" operator="equal">
      <formula>11</formula>
    </cfRule>
    <cfRule type="cellIs" dxfId="9" priority="2" operator="equal">
      <formula>10</formula>
    </cfRule>
    <cfRule type="cellIs" dxfId="8" priority="3" operator="equal">
      <formula>9</formula>
    </cfRule>
    <cfRule type="cellIs" dxfId="7" priority="4" operator="equal">
      <formula>8</formula>
    </cfRule>
    <cfRule type="cellIs" dxfId="6" priority="5" operator="equal">
      <formula>7</formula>
    </cfRule>
    <cfRule type="cellIs" dxfId="5" priority="6" operator="equal">
      <formula>6</formula>
    </cfRule>
    <cfRule type="cellIs" dxfId="4" priority="7" operator="equal">
      <formula>5</formula>
    </cfRule>
    <cfRule type="cellIs" dxfId="3" priority="8" operator="equal">
      <formula>4</formula>
    </cfRule>
    <cfRule type="cellIs" dxfId="2" priority="9" operator="equal">
      <formula>3</formula>
    </cfRule>
    <cfRule type="cellIs" dxfId="1" priority="10" operator="equal">
      <formula>1</formula>
    </cfRule>
    <cfRule type="cellIs" dxfId="0" priority="11" operator="equal">
      <formula>2</formula>
    </cfRule>
  </conditionalFormatting>
  <dataValidations count="2">
    <dataValidation type="list" allowBlank="1" showInputMessage="1" showErrorMessage="1" sqref="N15 N17" xr:uid="{F74038A6-7D6D-4BA1-A103-D60BBD5F8061}">
      <formula1>"GENNAIO,FEBBRAIO,MARZO,APRILE,MAGGIO,GIUGNO,LUGLIO,AGOSTO,SETTEMBRE,OTTOBRE,NOVEMBRE,DICEMBRE"</formula1>
    </dataValidation>
    <dataValidation type="list" allowBlank="1" showInputMessage="1" showErrorMessage="1" sqref="Q15 Q17" xr:uid="{079D94BF-650E-4D08-845E-77A9FD2B60E0}">
      <formula1>"2026,2027,2028,2029,2030,2031"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GeneraCalendario">
                <anchor moveWithCells="1" sizeWithCells="1">
                  <from>
                    <xdr:col>12</xdr:col>
                    <xdr:colOff>828675</xdr:colOff>
                    <xdr:row>20</xdr:row>
                    <xdr:rowOff>257175</xdr:rowOff>
                  </from>
                  <to>
                    <xdr:col>14</xdr:col>
                    <xdr:colOff>561975</xdr:colOff>
                    <xdr:row>21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EA7EF-4615-42B3-98B3-717B0E4B0FEE}">
  <sheetPr codeName="Foglio2">
    <pageSetUpPr fitToPage="1"/>
  </sheetPr>
  <dimension ref="A1:AM193"/>
  <sheetViews>
    <sheetView tabSelected="1" zoomScaleNormal="100" workbookViewId="0">
      <selection activeCell="Z12" sqref="Z12"/>
    </sheetView>
  </sheetViews>
  <sheetFormatPr defaultColWidth="5.28515625" defaultRowHeight="15" x14ac:dyDescent="0.25"/>
  <cols>
    <col min="1" max="1" width="35.5703125" customWidth="1"/>
    <col min="2" max="32" width="4.7109375" bestFit="1" customWidth="1"/>
    <col min="33" max="34" width="2.5703125" bestFit="1" customWidth="1"/>
    <col min="35" max="36" width="2.140625" bestFit="1" customWidth="1"/>
    <col min="37" max="38" width="2.42578125" bestFit="1" customWidth="1"/>
    <col min="39" max="39" width="2" bestFit="1" customWidth="1"/>
  </cols>
  <sheetData>
    <row r="1" spans="1:39" ht="18.75" x14ac:dyDescent="0.3">
      <c r="A1" s="22" t="s">
        <v>204</v>
      </c>
    </row>
    <row r="2" spans="1:39" ht="30" x14ac:dyDescent="0.25">
      <c r="A2" s="34" t="s">
        <v>13</v>
      </c>
      <c r="B2" s="37" t="s">
        <v>15</v>
      </c>
      <c r="C2" s="38" t="s">
        <v>16</v>
      </c>
      <c r="D2" s="37" t="s">
        <v>17</v>
      </c>
      <c r="E2" s="38" t="s">
        <v>18</v>
      </c>
      <c r="F2" s="38" t="s">
        <v>19</v>
      </c>
      <c r="G2" s="38" t="s">
        <v>20</v>
      </c>
      <c r="H2" s="38" t="s">
        <v>21</v>
      </c>
      <c r="I2" s="38" t="s">
        <v>22</v>
      </c>
      <c r="J2" s="38" t="s">
        <v>23</v>
      </c>
      <c r="K2" s="37" t="s">
        <v>24</v>
      </c>
      <c r="L2" s="38" t="s">
        <v>25</v>
      </c>
      <c r="M2" s="38" t="s">
        <v>26</v>
      </c>
      <c r="N2" s="38" t="s">
        <v>27</v>
      </c>
      <c r="O2" s="38" t="s">
        <v>28</v>
      </c>
      <c r="P2" s="38" t="s">
        <v>29</v>
      </c>
      <c r="Q2" s="38" t="s">
        <v>30</v>
      </c>
      <c r="R2" s="37" t="s">
        <v>31</v>
      </c>
      <c r="S2" s="38" t="s">
        <v>32</v>
      </c>
      <c r="T2" s="38" t="s">
        <v>33</v>
      </c>
      <c r="U2" s="38" t="s">
        <v>34</v>
      </c>
      <c r="V2" s="38" t="s">
        <v>35</v>
      </c>
      <c r="W2" s="38" t="s">
        <v>36</v>
      </c>
      <c r="X2" s="38" t="s">
        <v>37</v>
      </c>
      <c r="Y2" s="37" t="s">
        <v>38</v>
      </c>
      <c r="Z2" s="38" t="s">
        <v>39</v>
      </c>
      <c r="AA2" s="38" t="s">
        <v>40</v>
      </c>
      <c r="AB2" s="38" t="s">
        <v>41</v>
      </c>
      <c r="AC2" s="38" t="s">
        <v>42</v>
      </c>
      <c r="AD2" s="38" t="s">
        <v>43</v>
      </c>
      <c r="AE2" s="38" t="s">
        <v>44</v>
      </c>
      <c r="AF2" s="37" t="s">
        <v>45</v>
      </c>
      <c r="AG2" s="33"/>
      <c r="AH2" s="73" t="s">
        <v>11</v>
      </c>
      <c r="AI2" s="73" t="s">
        <v>10</v>
      </c>
      <c r="AJ2" s="73" t="s">
        <v>12</v>
      </c>
      <c r="AK2" s="43" t="s">
        <v>221</v>
      </c>
      <c r="AL2" s="44" t="s">
        <v>184</v>
      </c>
      <c r="AM2" s="72" t="s">
        <v>185</v>
      </c>
    </row>
    <row r="3" spans="1:39" ht="15.75" x14ac:dyDescent="0.25">
      <c r="A3" s="35" t="s">
        <v>231</v>
      </c>
      <c r="B3" s="45" t="s">
        <v>14</v>
      </c>
      <c r="C3" s="46" t="s">
        <v>14</v>
      </c>
      <c r="D3" s="45" t="s">
        <v>14</v>
      </c>
      <c r="E3" s="74" t="s">
        <v>12</v>
      </c>
      <c r="F3" s="74" t="s">
        <v>12</v>
      </c>
      <c r="G3" s="74" t="s">
        <v>10</v>
      </c>
      <c r="H3" s="33"/>
      <c r="I3" s="33"/>
      <c r="J3" s="74" t="s">
        <v>10</v>
      </c>
      <c r="K3" s="47"/>
      <c r="L3" s="33"/>
      <c r="M3" s="33"/>
      <c r="N3" s="33"/>
      <c r="O3" s="74" t="s">
        <v>10</v>
      </c>
      <c r="P3" s="74" t="s">
        <v>12</v>
      </c>
      <c r="Q3" s="74" t="s">
        <v>12</v>
      </c>
      <c r="R3" s="47"/>
      <c r="S3" s="74" t="s">
        <v>11</v>
      </c>
      <c r="T3" s="74" t="s">
        <v>11</v>
      </c>
      <c r="U3" s="74" t="s">
        <v>11</v>
      </c>
      <c r="V3" s="74" t="s">
        <v>12</v>
      </c>
      <c r="W3" s="74" t="s">
        <v>11</v>
      </c>
      <c r="X3" s="33"/>
      <c r="Y3" s="47"/>
      <c r="Z3" s="74" t="s">
        <v>11</v>
      </c>
      <c r="AA3" s="74" t="s">
        <v>10</v>
      </c>
      <c r="AB3" s="74" t="s">
        <v>12</v>
      </c>
      <c r="AC3" s="74" t="s">
        <v>12</v>
      </c>
      <c r="AD3" s="33"/>
      <c r="AE3" s="33"/>
      <c r="AF3" s="47"/>
      <c r="AG3" s="33"/>
      <c r="AH3" s="33">
        <v>5</v>
      </c>
      <c r="AI3" s="33">
        <v>4</v>
      </c>
      <c r="AJ3" s="33">
        <v>7</v>
      </c>
      <c r="AK3" s="48">
        <v>2</v>
      </c>
      <c r="AL3" s="49">
        <v>0</v>
      </c>
      <c r="AM3" s="49">
        <v>0</v>
      </c>
    </row>
    <row r="4" spans="1:39" x14ac:dyDescent="0.25">
      <c r="A4" s="35" t="s">
        <v>233</v>
      </c>
      <c r="B4" s="47"/>
      <c r="C4" s="33"/>
      <c r="D4" s="47"/>
      <c r="E4" s="33"/>
      <c r="F4" s="33"/>
      <c r="G4" s="33"/>
      <c r="H4" s="74" t="s">
        <v>10</v>
      </c>
      <c r="I4" s="74" t="s">
        <v>12</v>
      </c>
      <c r="J4" s="74" t="s">
        <v>12</v>
      </c>
      <c r="K4" s="47"/>
      <c r="L4" s="74" t="s">
        <v>11</v>
      </c>
      <c r="M4" s="74" t="s">
        <v>11</v>
      </c>
      <c r="N4" s="74" t="s">
        <v>11</v>
      </c>
      <c r="O4" s="74" t="s">
        <v>11</v>
      </c>
      <c r="P4" s="74" t="s">
        <v>11</v>
      </c>
      <c r="Q4" s="33"/>
      <c r="R4" s="47"/>
      <c r="S4" s="74" t="s">
        <v>10</v>
      </c>
      <c r="T4" s="74" t="s">
        <v>10</v>
      </c>
      <c r="U4" s="74" t="s">
        <v>12</v>
      </c>
      <c r="V4" s="74" t="s">
        <v>12</v>
      </c>
      <c r="W4" s="33"/>
      <c r="X4" s="33"/>
      <c r="Y4" s="47"/>
      <c r="Z4" s="74" t="s">
        <v>10</v>
      </c>
      <c r="AA4" s="74" t="s">
        <v>10</v>
      </c>
      <c r="AB4" s="74" t="s">
        <v>12</v>
      </c>
      <c r="AC4" s="74" t="s">
        <v>12</v>
      </c>
      <c r="AD4" s="33"/>
      <c r="AE4" s="33"/>
      <c r="AF4" s="47"/>
      <c r="AG4" s="33"/>
      <c r="AH4" s="33">
        <v>5</v>
      </c>
      <c r="AI4" s="33">
        <v>5</v>
      </c>
      <c r="AJ4" s="33">
        <v>6</v>
      </c>
      <c r="AK4" s="48">
        <v>1</v>
      </c>
      <c r="AL4" s="49">
        <v>0</v>
      </c>
      <c r="AM4" s="49">
        <v>0</v>
      </c>
    </row>
    <row r="5" spans="1:39" x14ac:dyDescent="0.25">
      <c r="A5" s="35" t="s">
        <v>226</v>
      </c>
      <c r="B5" s="73" t="s">
        <v>12</v>
      </c>
      <c r="C5" s="74" t="s">
        <v>12</v>
      </c>
      <c r="D5" s="47"/>
      <c r="E5" s="74" t="s">
        <v>11</v>
      </c>
      <c r="F5" s="74" t="s">
        <v>11</v>
      </c>
      <c r="G5" s="74" t="s">
        <v>11</v>
      </c>
      <c r="H5" s="74" t="s">
        <v>11</v>
      </c>
      <c r="I5" s="74" t="s">
        <v>11</v>
      </c>
      <c r="J5" s="33"/>
      <c r="K5" s="47"/>
      <c r="L5" s="74" t="s">
        <v>10</v>
      </c>
      <c r="M5" s="74" t="s">
        <v>10</v>
      </c>
      <c r="N5" s="74" t="s">
        <v>12</v>
      </c>
      <c r="O5" s="74" t="s">
        <v>12</v>
      </c>
      <c r="P5" s="33"/>
      <c r="Q5" s="33"/>
      <c r="R5" s="73" t="s">
        <v>12</v>
      </c>
      <c r="S5" s="74" t="s">
        <v>10</v>
      </c>
      <c r="T5" s="74" t="s">
        <v>10</v>
      </c>
      <c r="U5" s="74" t="s">
        <v>12</v>
      </c>
      <c r="V5" s="74"/>
      <c r="W5" s="33"/>
      <c r="X5" s="33"/>
      <c r="Y5" s="47"/>
      <c r="Z5" s="74" t="s">
        <v>12</v>
      </c>
      <c r="AA5" s="74" t="s">
        <v>12</v>
      </c>
      <c r="AB5" s="74" t="s">
        <v>10</v>
      </c>
      <c r="AC5" s="33"/>
      <c r="AD5" s="33"/>
      <c r="AE5" s="84"/>
      <c r="AF5" s="84"/>
      <c r="AG5" s="33"/>
      <c r="AH5" s="33">
        <v>5</v>
      </c>
      <c r="AI5" s="33">
        <v>5</v>
      </c>
      <c r="AJ5" s="33">
        <v>8</v>
      </c>
      <c r="AK5" s="48">
        <v>1</v>
      </c>
      <c r="AL5" s="49">
        <v>1</v>
      </c>
      <c r="AM5" s="49">
        <v>1</v>
      </c>
    </row>
    <row r="6" spans="1:39" x14ac:dyDescent="0.25">
      <c r="A6" s="35" t="s">
        <v>232</v>
      </c>
      <c r="B6" s="73"/>
      <c r="C6" s="33"/>
      <c r="D6" s="47"/>
      <c r="E6" s="74" t="s">
        <v>10</v>
      </c>
      <c r="F6" s="74" t="s">
        <v>10</v>
      </c>
      <c r="G6" s="74" t="s">
        <v>12</v>
      </c>
      <c r="H6" s="74" t="s">
        <v>12</v>
      </c>
      <c r="I6" s="33"/>
      <c r="J6" s="33"/>
      <c r="K6" s="47"/>
      <c r="L6" s="74" t="s">
        <v>10</v>
      </c>
      <c r="M6" s="74" t="s">
        <v>10</v>
      </c>
      <c r="N6" s="74" t="s">
        <v>12</v>
      </c>
      <c r="O6" s="74" t="s">
        <v>12</v>
      </c>
      <c r="P6" s="33"/>
      <c r="Q6" s="33"/>
      <c r="R6" s="47"/>
      <c r="S6" s="74" t="s">
        <v>12</v>
      </c>
      <c r="T6" s="74" t="s">
        <v>12</v>
      </c>
      <c r="U6" s="74" t="s">
        <v>10</v>
      </c>
      <c r="V6" s="33"/>
      <c r="W6" s="33"/>
      <c r="X6" s="33"/>
      <c r="Y6" s="47"/>
      <c r="Z6" s="33"/>
      <c r="AA6" s="33"/>
      <c r="AB6" s="33"/>
      <c r="AC6" s="33"/>
      <c r="AD6" s="74" t="s">
        <v>10</v>
      </c>
      <c r="AE6" s="74" t="s">
        <v>12</v>
      </c>
      <c r="AF6" s="73" t="s">
        <v>12</v>
      </c>
      <c r="AG6" s="33"/>
      <c r="AH6" s="33">
        <v>0</v>
      </c>
      <c r="AI6" s="33">
        <v>6</v>
      </c>
      <c r="AJ6" s="33">
        <v>8</v>
      </c>
      <c r="AK6" s="48">
        <v>1</v>
      </c>
      <c r="AL6" s="49">
        <v>1</v>
      </c>
      <c r="AM6" s="49">
        <v>0</v>
      </c>
    </row>
    <row r="7" spans="1:39" x14ac:dyDescent="0.25">
      <c r="A7" s="35" t="s">
        <v>229</v>
      </c>
      <c r="B7" s="47"/>
      <c r="C7" s="33"/>
      <c r="D7" s="47"/>
      <c r="E7" s="74" t="s">
        <v>10</v>
      </c>
      <c r="F7" s="74" t="s">
        <v>10</v>
      </c>
      <c r="G7" s="74" t="s">
        <v>12</v>
      </c>
      <c r="H7" s="74" t="s">
        <v>12</v>
      </c>
      <c r="I7" s="33"/>
      <c r="J7" s="33"/>
      <c r="K7" s="47"/>
      <c r="L7" s="74" t="s">
        <v>12</v>
      </c>
      <c r="M7" s="74" t="s">
        <v>12</v>
      </c>
      <c r="N7" s="74" t="s">
        <v>10</v>
      </c>
      <c r="O7" s="33"/>
      <c r="P7" s="33"/>
      <c r="Q7" s="33"/>
      <c r="R7" s="47"/>
      <c r="S7" s="33"/>
      <c r="T7" s="33"/>
      <c r="U7" s="33"/>
      <c r="V7" s="33"/>
      <c r="W7" s="74" t="s">
        <v>10</v>
      </c>
      <c r="X7" s="74" t="s">
        <v>12</v>
      </c>
      <c r="Y7" s="73" t="s">
        <v>12</v>
      </c>
      <c r="Z7" s="33"/>
      <c r="AA7" s="33"/>
      <c r="AB7" s="33"/>
      <c r="AC7" s="33"/>
      <c r="AD7" s="74" t="s">
        <v>10</v>
      </c>
      <c r="AE7" s="74" t="s">
        <v>12</v>
      </c>
      <c r="AF7" s="73" t="s">
        <v>12</v>
      </c>
      <c r="AG7" s="33"/>
      <c r="AH7" s="33">
        <v>0</v>
      </c>
      <c r="AI7" s="33">
        <v>5</v>
      </c>
      <c r="AJ7" s="33">
        <v>8</v>
      </c>
      <c r="AK7" s="48">
        <v>2</v>
      </c>
      <c r="AL7" s="49">
        <v>2</v>
      </c>
      <c r="AM7" s="49">
        <v>0</v>
      </c>
    </row>
    <row r="8" spans="1:39" x14ac:dyDescent="0.25">
      <c r="A8" s="35" t="s">
        <v>235</v>
      </c>
      <c r="B8" s="47"/>
      <c r="C8" s="33"/>
      <c r="D8" s="47"/>
      <c r="E8" s="74"/>
      <c r="F8" s="74" t="s">
        <v>12</v>
      </c>
      <c r="G8" s="74" t="s">
        <v>10</v>
      </c>
      <c r="H8" s="33"/>
      <c r="I8" s="33"/>
      <c r="J8" s="33"/>
      <c r="K8" s="47"/>
      <c r="L8" s="33"/>
      <c r="M8" s="33"/>
      <c r="N8" s="33"/>
      <c r="O8" s="33"/>
      <c r="P8" s="74" t="s">
        <v>10</v>
      </c>
      <c r="Q8" s="74" t="s">
        <v>12</v>
      </c>
      <c r="R8" s="73" t="s">
        <v>12</v>
      </c>
      <c r="S8" s="33"/>
      <c r="T8" s="33"/>
      <c r="U8" s="33"/>
      <c r="V8" s="33"/>
      <c r="W8" s="74" t="s">
        <v>10</v>
      </c>
      <c r="X8" s="74" t="s">
        <v>12</v>
      </c>
      <c r="Y8" s="73" t="s">
        <v>12</v>
      </c>
      <c r="Z8" s="33"/>
      <c r="AA8" s="33"/>
      <c r="AB8" s="33"/>
      <c r="AC8" s="74" t="s">
        <v>10</v>
      </c>
      <c r="AD8" s="74" t="s">
        <v>12</v>
      </c>
      <c r="AE8" s="74" t="s">
        <v>12</v>
      </c>
      <c r="AF8" s="47"/>
      <c r="AG8" s="33"/>
      <c r="AH8" s="33">
        <v>0</v>
      </c>
      <c r="AI8" s="33">
        <v>4</v>
      </c>
      <c r="AJ8" s="33">
        <v>7</v>
      </c>
      <c r="AK8" s="48">
        <v>3</v>
      </c>
      <c r="AL8" s="49">
        <v>2</v>
      </c>
      <c r="AM8" s="49">
        <v>0</v>
      </c>
    </row>
    <row r="9" spans="1:39" x14ac:dyDescent="0.25">
      <c r="A9" s="35" t="s">
        <v>228</v>
      </c>
      <c r="B9" s="47"/>
      <c r="C9" s="33"/>
      <c r="D9" s="47"/>
      <c r="E9" s="74" t="s">
        <v>12</v>
      </c>
      <c r="F9" s="33"/>
      <c r="G9" s="33"/>
      <c r="H9" s="33"/>
      <c r="I9" s="74" t="s">
        <v>10</v>
      </c>
      <c r="J9" s="74" t="s">
        <v>12</v>
      </c>
      <c r="K9" s="73" t="s">
        <v>12</v>
      </c>
      <c r="L9" s="33"/>
      <c r="M9" s="33"/>
      <c r="N9" s="33"/>
      <c r="O9" s="33"/>
      <c r="P9" s="74" t="s">
        <v>10</v>
      </c>
      <c r="Q9" s="74" t="s">
        <v>12</v>
      </c>
      <c r="R9" s="87"/>
      <c r="S9" s="33"/>
      <c r="T9" s="33"/>
      <c r="U9" s="33"/>
      <c r="V9" s="74" t="s">
        <v>12</v>
      </c>
      <c r="W9" s="74" t="s">
        <v>12</v>
      </c>
      <c r="X9" s="74" t="s">
        <v>12</v>
      </c>
      <c r="Y9" s="47"/>
      <c r="Z9" s="74" t="s">
        <v>11</v>
      </c>
      <c r="AA9" s="74" t="s">
        <v>11</v>
      </c>
      <c r="AB9" s="74" t="s">
        <v>11</v>
      </c>
      <c r="AC9" s="74" t="s">
        <v>11</v>
      </c>
      <c r="AD9" s="74" t="s">
        <v>11</v>
      </c>
      <c r="AE9" s="33"/>
      <c r="AF9" s="47"/>
      <c r="AG9" s="33"/>
      <c r="AH9" s="33">
        <v>5</v>
      </c>
      <c r="AI9" s="33">
        <v>2</v>
      </c>
      <c r="AJ9" s="33">
        <v>7</v>
      </c>
      <c r="AK9" s="48">
        <v>3</v>
      </c>
      <c r="AL9" s="49">
        <v>1</v>
      </c>
      <c r="AM9" s="49">
        <v>0</v>
      </c>
    </row>
    <row r="10" spans="1:39" ht="15.75" x14ac:dyDescent="0.25">
      <c r="A10" s="35" t="s">
        <v>234</v>
      </c>
      <c r="B10" s="73"/>
      <c r="C10" s="74" t="s">
        <v>12</v>
      </c>
      <c r="D10" s="73" t="s">
        <v>12</v>
      </c>
      <c r="E10" s="33"/>
      <c r="F10" s="33"/>
      <c r="G10" s="33"/>
      <c r="H10" s="33"/>
      <c r="I10" s="74" t="s">
        <v>10</v>
      </c>
      <c r="J10" s="74" t="s">
        <v>11</v>
      </c>
      <c r="K10" s="73" t="s">
        <v>12</v>
      </c>
      <c r="L10" s="33"/>
      <c r="M10" s="33"/>
      <c r="N10" s="33"/>
      <c r="O10" s="74" t="s">
        <v>10</v>
      </c>
      <c r="P10" s="74" t="s">
        <v>12</v>
      </c>
      <c r="Q10" s="74" t="s">
        <v>12</v>
      </c>
      <c r="R10" s="47"/>
      <c r="S10" s="74" t="s">
        <v>11</v>
      </c>
      <c r="T10" s="74" t="s">
        <v>11</v>
      </c>
      <c r="U10" s="74" t="s">
        <v>11</v>
      </c>
      <c r="V10" s="74" t="s">
        <v>11</v>
      </c>
      <c r="W10" s="74" t="s">
        <v>11</v>
      </c>
      <c r="X10" s="33"/>
      <c r="Y10" s="47"/>
      <c r="Z10" s="46" t="s">
        <v>14</v>
      </c>
      <c r="AA10" s="46" t="s">
        <v>14</v>
      </c>
      <c r="AB10" s="46" t="s">
        <v>14</v>
      </c>
      <c r="AC10" s="46" t="s">
        <v>14</v>
      </c>
      <c r="AD10" s="46" t="s">
        <v>14</v>
      </c>
      <c r="AE10" s="46" t="s">
        <v>14</v>
      </c>
      <c r="AF10" s="45" t="s">
        <v>14</v>
      </c>
      <c r="AG10" s="33"/>
      <c r="AH10" s="33">
        <v>6</v>
      </c>
      <c r="AI10" s="33">
        <v>2</v>
      </c>
      <c r="AJ10" s="33">
        <v>5</v>
      </c>
      <c r="AK10" s="48">
        <v>3</v>
      </c>
      <c r="AL10" s="49">
        <v>2</v>
      </c>
      <c r="AM10" s="49">
        <v>0</v>
      </c>
    </row>
    <row r="11" spans="1:39" ht="15.75" x14ac:dyDescent="0.25">
      <c r="A11" s="35" t="s">
        <v>230</v>
      </c>
      <c r="B11" s="73"/>
      <c r="C11" s="74" t="s">
        <v>12</v>
      </c>
      <c r="D11" s="73" t="s">
        <v>12</v>
      </c>
      <c r="E11" s="33"/>
      <c r="F11" s="33"/>
      <c r="G11" s="33"/>
      <c r="H11" s="74" t="s">
        <v>10</v>
      </c>
      <c r="I11" s="74" t="s">
        <v>12</v>
      </c>
      <c r="J11" s="74" t="s">
        <v>12</v>
      </c>
      <c r="K11" s="47"/>
      <c r="L11" s="74" t="s">
        <v>11</v>
      </c>
      <c r="M11" s="74" t="s">
        <v>11</v>
      </c>
      <c r="N11" s="74" t="s">
        <v>11</v>
      </c>
      <c r="O11" s="74" t="s">
        <v>11</v>
      </c>
      <c r="P11" s="74" t="s">
        <v>11</v>
      </c>
      <c r="Q11" s="33"/>
      <c r="R11" s="47"/>
      <c r="S11" s="46" t="s">
        <v>14</v>
      </c>
      <c r="T11" s="46" t="s">
        <v>14</v>
      </c>
      <c r="U11" s="46" t="s">
        <v>14</v>
      </c>
      <c r="V11" s="46" t="s">
        <v>14</v>
      </c>
      <c r="W11" s="46" t="s">
        <v>14</v>
      </c>
      <c r="X11" s="46" t="s">
        <v>14</v>
      </c>
      <c r="Y11" s="45" t="s">
        <v>14</v>
      </c>
      <c r="Z11" s="74" t="s">
        <v>12</v>
      </c>
      <c r="AA11" s="74" t="s">
        <v>12</v>
      </c>
      <c r="AB11" s="74" t="s">
        <v>10</v>
      </c>
      <c r="AC11" s="33"/>
      <c r="AD11" s="33"/>
      <c r="AE11" s="33"/>
      <c r="AF11" s="47"/>
      <c r="AG11" s="33"/>
      <c r="AH11" s="33">
        <v>5</v>
      </c>
      <c r="AI11" s="33">
        <v>2</v>
      </c>
      <c r="AJ11" s="33">
        <v>6</v>
      </c>
      <c r="AK11" s="48">
        <v>2</v>
      </c>
      <c r="AL11" s="49">
        <v>1</v>
      </c>
      <c r="AM11" s="49">
        <v>0</v>
      </c>
    </row>
    <row r="12" spans="1:39" ht="15.75" x14ac:dyDescent="0.25">
      <c r="A12" s="35" t="s">
        <v>227</v>
      </c>
      <c r="B12" s="73" t="s">
        <v>12</v>
      </c>
      <c r="C12" s="74" t="s">
        <v>12</v>
      </c>
      <c r="D12" s="47"/>
      <c r="E12" s="74" t="s">
        <v>11</v>
      </c>
      <c r="F12" s="74" t="s">
        <v>11</v>
      </c>
      <c r="G12" s="74" t="s">
        <v>11</v>
      </c>
      <c r="H12" s="74" t="s">
        <v>11</v>
      </c>
      <c r="I12" s="74" t="s">
        <v>11</v>
      </c>
      <c r="J12" s="33"/>
      <c r="K12" s="47"/>
      <c r="L12" s="46" t="s">
        <v>14</v>
      </c>
      <c r="M12" s="46" t="s">
        <v>14</v>
      </c>
      <c r="N12" s="46" t="s">
        <v>14</v>
      </c>
      <c r="O12" s="46" t="s">
        <v>14</v>
      </c>
      <c r="P12" s="46" t="s">
        <v>14</v>
      </c>
      <c r="Q12" s="46" t="s">
        <v>14</v>
      </c>
      <c r="R12" s="45" t="s">
        <v>14</v>
      </c>
      <c r="S12" s="74" t="s">
        <v>12</v>
      </c>
      <c r="T12" s="74" t="s">
        <v>12</v>
      </c>
      <c r="U12" s="74" t="s">
        <v>10</v>
      </c>
      <c r="V12" s="33"/>
      <c r="W12" s="33"/>
      <c r="X12" s="33"/>
      <c r="Y12" s="47"/>
      <c r="Z12" s="33"/>
      <c r="AA12" s="33"/>
      <c r="AB12" s="33"/>
      <c r="AC12" s="87"/>
      <c r="AD12" s="74" t="s">
        <v>12</v>
      </c>
      <c r="AE12" s="74" t="s">
        <v>12</v>
      </c>
      <c r="AF12" s="47"/>
      <c r="AG12" s="33"/>
      <c r="AH12" s="33">
        <v>5</v>
      </c>
      <c r="AI12" s="33">
        <v>1</v>
      </c>
      <c r="AJ12" s="33">
        <v>6</v>
      </c>
      <c r="AK12" s="48">
        <v>2</v>
      </c>
      <c r="AL12" s="49">
        <v>0</v>
      </c>
      <c r="AM12" s="49">
        <v>1</v>
      </c>
    </row>
    <row r="13" spans="1:39" ht="15.75" x14ac:dyDescent="0.25">
      <c r="A13" s="35" t="s">
        <v>213</v>
      </c>
      <c r="B13" s="73"/>
      <c r="C13" s="33"/>
      <c r="D13" s="47"/>
      <c r="E13" s="46" t="s">
        <v>14</v>
      </c>
      <c r="F13" s="46" t="s">
        <v>14</v>
      </c>
      <c r="G13" s="46" t="s">
        <v>14</v>
      </c>
      <c r="H13" s="46" t="s">
        <v>14</v>
      </c>
      <c r="I13" s="46" t="s">
        <v>14</v>
      </c>
      <c r="J13" s="46" t="s">
        <v>14</v>
      </c>
      <c r="K13" s="45" t="s">
        <v>14</v>
      </c>
      <c r="L13" s="74" t="s">
        <v>12</v>
      </c>
      <c r="M13" s="74" t="s">
        <v>12</v>
      </c>
      <c r="N13" s="74" t="s">
        <v>10</v>
      </c>
      <c r="O13" s="84"/>
      <c r="P13" s="84"/>
      <c r="Q13" s="84"/>
      <c r="R13" s="84"/>
      <c r="S13" s="84"/>
      <c r="T13" s="84"/>
      <c r="U13" s="84"/>
      <c r="V13" s="74" t="s">
        <v>10</v>
      </c>
      <c r="W13" s="74" t="s">
        <v>12</v>
      </c>
      <c r="X13" s="74" t="s">
        <v>12</v>
      </c>
      <c r="Y13" s="47"/>
      <c r="Z13" s="74" t="s">
        <v>10</v>
      </c>
      <c r="AA13" s="74" t="s">
        <v>11</v>
      </c>
      <c r="AB13" s="74" t="s">
        <v>11</v>
      </c>
      <c r="AC13" s="74" t="s">
        <v>12</v>
      </c>
      <c r="AD13" s="74" t="s">
        <v>11</v>
      </c>
      <c r="AE13" s="84"/>
      <c r="AF13" s="84"/>
      <c r="AG13" s="33"/>
      <c r="AH13" s="33">
        <v>3</v>
      </c>
      <c r="AI13" s="33">
        <v>3</v>
      </c>
      <c r="AJ13" s="33">
        <v>5</v>
      </c>
      <c r="AK13" s="48">
        <v>1</v>
      </c>
      <c r="AL13" s="49">
        <v>0</v>
      </c>
      <c r="AM13" s="49">
        <v>0</v>
      </c>
    </row>
    <row r="14" spans="1:39" x14ac:dyDescent="0.25">
      <c r="A14" s="53" t="s">
        <v>224</v>
      </c>
      <c r="B14" s="39">
        <v>2</v>
      </c>
      <c r="C14" s="54">
        <v>4</v>
      </c>
      <c r="D14" s="39">
        <v>2</v>
      </c>
      <c r="E14" s="54">
        <v>6</v>
      </c>
      <c r="F14" s="54">
        <v>6</v>
      </c>
      <c r="G14" s="54">
        <v>6</v>
      </c>
      <c r="H14" s="54">
        <v>6</v>
      </c>
      <c r="I14" s="54">
        <v>6</v>
      </c>
      <c r="J14" s="54">
        <v>5</v>
      </c>
      <c r="K14" s="39">
        <v>2</v>
      </c>
      <c r="L14" s="54">
        <v>6</v>
      </c>
      <c r="M14" s="54">
        <v>6</v>
      </c>
      <c r="N14" s="54">
        <v>6</v>
      </c>
      <c r="O14" s="54">
        <v>6</v>
      </c>
      <c r="P14" s="54">
        <v>6</v>
      </c>
      <c r="Q14" s="54">
        <v>4</v>
      </c>
      <c r="R14" s="39">
        <v>2</v>
      </c>
      <c r="S14" s="54">
        <v>6</v>
      </c>
      <c r="T14" s="54">
        <v>6</v>
      </c>
      <c r="U14" s="54">
        <v>6</v>
      </c>
      <c r="V14" s="54">
        <v>5</v>
      </c>
      <c r="W14" s="54">
        <v>6</v>
      </c>
      <c r="X14" s="54">
        <v>4</v>
      </c>
      <c r="Y14" s="39">
        <v>2</v>
      </c>
      <c r="Z14" s="54">
        <v>6</v>
      </c>
      <c r="AA14" s="54">
        <v>6</v>
      </c>
      <c r="AB14" s="54">
        <v>6</v>
      </c>
      <c r="AC14" s="54">
        <v>5</v>
      </c>
      <c r="AD14" s="54">
        <v>6</v>
      </c>
      <c r="AE14" s="54">
        <v>4</v>
      </c>
      <c r="AF14" s="39">
        <v>2</v>
      </c>
      <c r="AH14">
        <v>-6</v>
      </c>
    </row>
    <row r="15" spans="1:39" x14ac:dyDescent="0.25">
      <c r="B15" s="138" t="s">
        <v>223</v>
      </c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38"/>
      <c r="AE15" s="138"/>
      <c r="AF15" s="138"/>
    </row>
    <row r="16" spans="1:39" ht="17.25" x14ac:dyDescent="0.3">
      <c r="A16" s="26" t="s">
        <v>188</v>
      </c>
    </row>
    <row r="17" spans="1:38" ht="30" x14ac:dyDescent="0.25">
      <c r="A17" s="52" t="s">
        <v>13</v>
      </c>
      <c r="B17" s="50" t="s">
        <v>15</v>
      </c>
      <c r="C17" s="51" t="s">
        <v>16</v>
      </c>
      <c r="D17" s="50" t="s">
        <v>17</v>
      </c>
      <c r="E17" s="51" t="s">
        <v>18</v>
      </c>
      <c r="F17" s="51" t="s">
        <v>19</v>
      </c>
      <c r="G17" s="51" t="s">
        <v>20</v>
      </c>
      <c r="H17" s="51" t="s">
        <v>21</v>
      </c>
      <c r="I17" s="51" t="s">
        <v>22</v>
      </c>
      <c r="J17" s="51" t="s">
        <v>23</v>
      </c>
      <c r="K17" s="50" t="s">
        <v>24</v>
      </c>
      <c r="L17" s="51" t="s">
        <v>25</v>
      </c>
      <c r="M17" s="51" t="s">
        <v>26</v>
      </c>
      <c r="N17" s="51" t="s">
        <v>27</v>
      </c>
      <c r="O17" s="51" t="s">
        <v>28</v>
      </c>
      <c r="P17" s="51" t="s">
        <v>29</v>
      </c>
      <c r="Q17" s="51" t="s">
        <v>30</v>
      </c>
      <c r="R17" s="50" t="s">
        <v>31</v>
      </c>
      <c r="S17" s="51" t="s">
        <v>32</v>
      </c>
      <c r="T17" s="51" t="s">
        <v>33</v>
      </c>
      <c r="U17" s="51" t="s">
        <v>34</v>
      </c>
      <c r="V17" s="51" t="s">
        <v>35</v>
      </c>
      <c r="W17" s="51" t="s">
        <v>36</v>
      </c>
      <c r="X17" s="51" t="s">
        <v>37</v>
      </c>
      <c r="Y17" s="50" t="s">
        <v>38</v>
      </c>
      <c r="Z17" s="51" t="s">
        <v>39</v>
      </c>
      <c r="AA17" s="51" t="s">
        <v>40</v>
      </c>
      <c r="AB17" s="51" t="s">
        <v>41</v>
      </c>
      <c r="AC17" s="51" t="s">
        <v>42</v>
      </c>
      <c r="AD17" s="51" t="s">
        <v>43</v>
      </c>
      <c r="AE17" s="51" t="s">
        <v>44</v>
      </c>
      <c r="AF17" s="50" t="s">
        <v>45</v>
      </c>
    </row>
    <row r="18" spans="1:38" x14ac:dyDescent="0.25">
      <c r="A18" s="35" t="s">
        <v>231</v>
      </c>
      <c r="B18" s="47"/>
      <c r="C18" s="33"/>
      <c r="D18" s="47"/>
      <c r="E18" s="33"/>
      <c r="F18" s="33"/>
      <c r="G18" s="74" t="s">
        <v>211</v>
      </c>
      <c r="H18" s="33"/>
      <c r="I18" s="33"/>
      <c r="J18" s="33"/>
      <c r="K18" s="47"/>
      <c r="L18" s="33"/>
      <c r="M18" s="33"/>
      <c r="N18" s="33"/>
      <c r="O18" s="74" t="s">
        <v>211</v>
      </c>
      <c r="P18" s="33"/>
      <c r="Q18" s="33"/>
      <c r="R18" s="47"/>
      <c r="S18" s="74" t="s">
        <v>212</v>
      </c>
      <c r="T18" s="33"/>
      <c r="U18" s="33"/>
      <c r="V18" s="33"/>
      <c r="W18" s="33"/>
      <c r="X18" s="33"/>
      <c r="Y18" s="47"/>
      <c r="Z18" s="33"/>
      <c r="AA18" s="33"/>
      <c r="AB18" s="33"/>
      <c r="AC18" s="33"/>
      <c r="AD18" s="33"/>
      <c r="AE18" s="33"/>
      <c r="AF18" s="47"/>
    </row>
    <row r="19" spans="1:38" x14ac:dyDescent="0.25">
      <c r="A19" s="35" t="s">
        <v>233</v>
      </c>
      <c r="B19" s="47"/>
      <c r="C19" s="33"/>
      <c r="D19" s="47"/>
      <c r="E19" s="33"/>
      <c r="F19" s="33"/>
      <c r="G19" s="33"/>
      <c r="H19" s="74" t="s">
        <v>211</v>
      </c>
      <c r="I19" s="33"/>
      <c r="J19" s="33"/>
      <c r="K19" s="47"/>
      <c r="L19" s="74" t="s">
        <v>212</v>
      </c>
      <c r="M19" s="33"/>
      <c r="N19" s="33"/>
      <c r="O19" s="33"/>
      <c r="P19" s="33"/>
      <c r="Q19" s="33"/>
      <c r="R19" s="47"/>
      <c r="S19" s="33"/>
      <c r="T19" s="33"/>
      <c r="U19" s="33"/>
      <c r="V19" s="33"/>
      <c r="W19" s="33"/>
      <c r="X19" s="33"/>
      <c r="Y19" s="47"/>
      <c r="Z19" s="33"/>
      <c r="AA19" s="33"/>
      <c r="AB19" s="33"/>
      <c r="AC19" s="33"/>
      <c r="AD19" s="33"/>
      <c r="AE19" s="33"/>
      <c r="AF19" s="47"/>
    </row>
    <row r="20" spans="1:38" x14ac:dyDescent="0.25">
      <c r="A20" s="35" t="s">
        <v>226</v>
      </c>
      <c r="B20" s="47"/>
      <c r="C20" s="33"/>
      <c r="D20" s="47"/>
      <c r="E20" s="74" t="s">
        <v>212</v>
      </c>
      <c r="F20" s="33"/>
      <c r="G20" s="33"/>
      <c r="H20" s="33"/>
      <c r="I20" s="33"/>
      <c r="J20" s="33"/>
      <c r="K20" s="47"/>
      <c r="L20" s="33"/>
      <c r="M20" s="33"/>
      <c r="N20" s="33"/>
      <c r="O20" s="33"/>
      <c r="P20" s="33"/>
      <c r="Q20" s="33"/>
      <c r="R20" s="47"/>
      <c r="S20" s="33"/>
      <c r="T20" s="33"/>
      <c r="U20" s="33"/>
      <c r="V20" s="33"/>
      <c r="W20" s="33"/>
      <c r="X20" s="33"/>
      <c r="Y20" s="47"/>
      <c r="Z20" s="33"/>
      <c r="AA20" s="33"/>
      <c r="AB20" s="74" t="s">
        <v>211</v>
      </c>
      <c r="AC20" s="33"/>
      <c r="AD20" s="33"/>
      <c r="AE20" s="33"/>
      <c r="AF20" s="47"/>
    </row>
    <row r="21" spans="1:38" x14ac:dyDescent="0.25">
      <c r="A21" s="35" t="s">
        <v>232</v>
      </c>
      <c r="B21" s="47"/>
      <c r="C21" s="33"/>
      <c r="D21" s="47"/>
      <c r="E21" s="33"/>
      <c r="F21" s="33"/>
      <c r="G21" s="33"/>
      <c r="H21" s="33"/>
      <c r="I21" s="33"/>
      <c r="J21" s="33"/>
      <c r="K21" s="47"/>
      <c r="L21" s="33"/>
      <c r="M21" s="33"/>
      <c r="N21" s="33"/>
      <c r="O21" s="33"/>
      <c r="P21" s="33"/>
      <c r="Q21" s="33"/>
      <c r="R21" s="47"/>
      <c r="S21" s="33"/>
      <c r="T21" s="33"/>
      <c r="U21" s="74" t="s">
        <v>211</v>
      </c>
      <c r="V21" s="33"/>
      <c r="W21" s="33"/>
      <c r="X21" s="33"/>
      <c r="Y21" s="47"/>
      <c r="Z21" s="33"/>
      <c r="AA21" s="33"/>
      <c r="AB21" s="33"/>
      <c r="AC21" s="33"/>
      <c r="AD21" s="74" t="s">
        <v>211</v>
      </c>
      <c r="AE21" s="33"/>
      <c r="AF21" s="47"/>
    </row>
    <row r="22" spans="1:38" x14ac:dyDescent="0.25">
      <c r="A22" s="35" t="s">
        <v>229</v>
      </c>
      <c r="B22" s="47"/>
      <c r="C22" s="33"/>
      <c r="D22" s="47"/>
      <c r="E22" s="33"/>
      <c r="F22" s="33"/>
      <c r="G22" s="33"/>
      <c r="H22" s="33"/>
      <c r="I22" s="33"/>
      <c r="J22" s="33"/>
      <c r="K22" s="47"/>
      <c r="L22" s="33"/>
      <c r="M22" s="33"/>
      <c r="N22" s="74" t="s">
        <v>211</v>
      </c>
      <c r="O22" s="33"/>
      <c r="P22" s="33"/>
      <c r="Q22" s="33"/>
      <c r="R22" s="47"/>
      <c r="S22" s="33"/>
      <c r="T22" s="33"/>
      <c r="U22" s="33"/>
      <c r="V22" s="33"/>
      <c r="W22" s="74" t="s">
        <v>211</v>
      </c>
      <c r="X22" s="33"/>
      <c r="Y22" s="47"/>
      <c r="Z22" s="33"/>
      <c r="AA22" s="33"/>
      <c r="AB22" s="33"/>
      <c r="AC22" s="33"/>
      <c r="AD22" s="74" t="s">
        <v>211</v>
      </c>
      <c r="AE22" s="33"/>
      <c r="AF22" s="47"/>
    </row>
    <row r="23" spans="1:38" x14ac:dyDescent="0.25">
      <c r="A23" s="35" t="s">
        <v>235</v>
      </c>
      <c r="B23" s="47"/>
      <c r="C23" s="33"/>
      <c r="D23" s="47"/>
      <c r="E23" s="33"/>
      <c r="F23" s="33"/>
      <c r="G23" s="74" t="s">
        <v>211</v>
      </c>
      <c r="H23" s="33"/>
      <c r="I23" s="33"/>
      <c r="J23" s="33"/>
      <c r="K23" s="47"/>
      <c r="L23" s="33"/>
      <c r="M23" s="33"/>
      <c r="N23" s="33"/>
      <c r="O23" s="33"/>
      <c r="P23" s="74" t="s">
        <v>211</v>
      </c>
      <c r="Q23" s="33"/>
      <c r="R23" s="47"/>
      <c r="S23" s="33"/>
      <c r="T23" s="33"/>
      <c r="U23" s="33"/>
      <c r="V23" s="33"/>
      <c r="W23" s="74" t="s">
        <v>211</v>
      </c>
      <c r="X23" s="33"/>
      <c r="Y23" s="47"/>
      <c r="Z23" s="33"/>
      <c r="AA23" s="33"/>
      <c r="AB23" s="33"/>
      <c r="AC23" s="74" t="s">
        <v>211</v>
      </c>
      <c r="AD23" s="33"/>
      <c r="AE23" s="33"/>
      <c r="AF23" s="47"/>
    </row>
    <row r="24" spans="1:38" x14ac:dyDescent="0.25">
      <c r="A24" s="35" t="s">
        <v>228</v>
      </c>
      <c r="B24" s="47"/>
      <c r="C24" s="33"/>
      <c r="D24" s="47"/>
      <c r="E24" s="33"/>
      <c r="F24" s="33"/>
      <c r="G24" s="33"/>
      <c r="H24" s="33"/>
      <c r="I24" s="74" t="s">
        <v>211</v>
      </c>
      <c r="J24" s="33"/>
      <c r="K24" s="47"/>
      <c r="L24" s="33"/>
      <c r="M24" s="33"/>
      <c r="N24" s="33"/>
      <c r="O24" s="33"/>
      <c r="P24" s="74" t="s">
        <v>211</v>
      </c>
      <c r="Q24" s="33"/>
      <c r="R24" s="47"/>
      <c r="S24" s="33"/>
      <c r="T24" s="33"/>
      <c r="U24" s="33"/>
      <c r="V24" s="74" t="s">
        <v>211</v>
      </c>
      <c r="W24" s="33"/>
      <c r="X24" s="33"/>
      <c r="Y24" s="47"/>
      <c r="Z24" s="33"/>
      <c r="AA24" s="74" t="s">
        <v>211</v>
      </c>
      <c r="AB24" s="33"/>
      <c r="AC24" s="33"/>
      <c r="AD24" s="33"/>
      <c r="AE24" s="33"/>
      <c r="AF24" s="47"/>
    </row>
    <row r="25" spans="1:38" x14ac:dyDescent="0.25">
      <c r="A25" s="35" t="s">
        <v>234</v>
      </c>
      <c r="B25" s="73" t="s">
        <v>211</v>
      </c>
      <c r="C25" s="33"/>
      <c r="D25" s="47"/>
      <c r="E25" s="33"/>
      <c r="F25" s="33"/>
      <c r="G25" s="33"/>
      <c r="H25" s="33"/>
      <c r="I25" s="74" t="s">
        <v>211</v>
      </c>
      <c r="J25" s="33"/>
      <c r="K25" s="47"/>
      <c r="L25" s="33"/>
      <c r="M25" s="33"/>
      <c r="N25" s="33"/>
      <c r="O25" s="74" t="s">
        <v>211</v>
      </c>
      <c r="P25" s="33"/>
      <c r="Q25" s="33"/>
      <c r="R25" s="47"/>
      <c r="S25" s="33"/>
      <c r="T25" s="74" t="s">
        <v>211</v>
      </c>
      <c r="U25" s="33"/>
      <c r="V25" s="33"/>
      <c r="W25" s="33"/>
      <c r="X25" s="33"/>
      <c r="Y25" s="47"/>
      <c r="Z25" s="33"/>
      <c r="AA25" s="33"/>
      <c r="AB25" s="33"/>
      <c r="AC25" s="33"/>
      <c r="AD25" s="33"/>
      <c r="AE25" s="33"/>
      <c r="AF25" s="47"/>
    </row>
    <row r="26" spans="1:38" x14ac:dyDescent="0.25">
      <c r="A26" s="35" t="s">
        <v>230</v>
      </c>
      <c r="B26" s="73" t="s">
        <v>211</v>
      </c>
      <c r="C26" s="33"/>
      <c r="D26" s="47"/>
      <c r="E26" s="33"/>
      <c r="F26" s="33"/>
      <c r="G26" s="33"/>
      <c r="H26" s="74" t="s">
        <v>211</v>
      </c>
      <c r="I26" s="33"/>
      <c r="J26" s="33"/>
      <c r="K26" s="47"/>
      <c r="L26" s="33"/>
      <c r="M26" s="74" t="s">
        <v>211</v>
      </c>
      <c r="N26" s="33"/>
      <c r="O26" s="33"/>
      <c r="P26" s="33"/>
      <c r="Q26" s="33"/>
      <c r="R26" s="47"/>
      <c r="S26" s="33"/>
      <c r="T26" s="33"/>
      <c r="U26" s="33"/>
      <c r="V26" s="33"/>
      <c r="W26" s="33"/>
      <c r="X26" s="33"/>
      <c r="Y26" s="47"/>
      <c r="Z26" s="33"/>
      <c r="AA26" s="33"/>
      <c r="AB26" s="74" t="s">
        <v>211</v>
      </c>
      <c r="AC26" s="33"/>
      <c r="AD26" s="33"/>
      <c r="AE26" s="33"/>
      <c r="AF26" s="47"/>
    </row>
    <row r="27" spans="1:38" x14ac:dyDescent="0.25">
      <c r="A27" s="35" t="s">
        <v>227</v>
      </c>
      <c r="B27" s="47"/>
      <c r="C27" s="33"/>
      <c r="D27" s="47"/>
      <c r="E27" s="33"/>
      <c r="F27" s="74" t="s">
        <v>211</v>
      </c>
      <c r="G27" s="33"/>
      <c r="H27" s="33"/>
      <c r="I27" s="33"/>
      <c r="J27" s="33"/>
      <c r="K27" s="47"/>
      <c r="L27" s="33"/>
      <c r="M27" s="33"/>
      <c r="N27" s="33"/>
      <c r="O27" s="33"/>
      <c r="P27" s="33"/>
      <c r="Q27" s="33"/>
      <c r="R27" s="47"/>
      <c r="S27" s="33"/>
      <c r="T27" s="33"/>
      <c r="U27" s="74" t="s">
        <v>211</v>
      </c>
      <c r="V27" s="33"/>
      <c r="W27" s="33"/>
      <c r="X27" s="33"/>
      <c r="Y27" s="47"/>
      <c r="Z27" s="33"/>
      <c r="AA27" s="33"/>
      <c r="AB27" s="33"/>
      <c r="AC27" s="74" t="s">
        <v>211</v>
      </c>
      <c r="AD27" s="33"/>
      <c r="AE27" s="33"/>
      <c r="AF27" s="47"/>
    </row>
    <row r="28" spans="1:38" x14ac:dyDescent="0.25">
      <c r="A28" s="35" t="s">
        <v>213</v>
      </c>
      <c r="B28" s="47"/>
      <c r="C28" s="33"/>
      <c r="D28" s="47"/>
      <c r="E28" s="33"/>
      <c r="F28" s="33"/>
      <c r="G28" s="33"/>
      <c r="H28" s="33"/>
      <c r="I28" s="33"/>
      <c r="J28" s="33"/>
      <c r="K28" s="47"/>
      <c r="L28" s="33"/>
      <c r="M28" s="33"/>
      <c r="N28" s="74" t="s">
        <v>211</v>
      </c>
      <c r="O28" s="33"/>
      <c r="P28" s="33"/>
      <c r="Q28" s="33"/>
      <c r="R28" s="47"/>
      <c r="S28" s="33"/>
      <c r="T28" s="33"/>
      <c r="U28" s="33"/>
      <c r="V28" s="74" t="s">
        <v>211</v>
      </c>
      <c r="W28" s="33"/>
      <c r="X28" s="33"/>
      <c r="Y28" s="47"/>
      <c r="Z28" s="74" t="s">
        <v>212</v>
      </c>
      <c r="AA28" s="33"/>
      <c r="AB28" s="33"/>
      <c r="AC28" s="33"/>
      <c r="AD28" s="33"/>
      <c r="AE28" s="33"/>
      <c r="AF28" s="47"/>
    </row>
    <row r="31" spans="1:38" ht="18.75" x14ac:dyDescent="0.3">
      <c r="A31" s="22" t="s">
        <v>205</v>
      </c>
    </row>
    <row r="32" spans="1:38" ht="30" x14ac:dyDescent="0.25">
      <c r="A32" s="34" t="s">
        <v>13</v>
      </c>
      <c r="B32" s="38" t="s">
        <v>46</v>
      </c>
      <c r="C32" s="37" t="s">
        <v>47</v>
      </c>
      <c r="D32" s="38" t="s">
        <v>48</v>
      </c>
      <c r="E32" s="38" t="s">
        <v>49</v>
      </c>
      <c r="F32" s="38" t="s">
        <v>50</v>
      </c>
      <c r="G32" s="38" t="s">
        <v>51</v>
      </c>
      <c r="H32" s="37" t="s">
        <v>52</v>
      </c>
      <c r="I32" s="38" t="s">
        <v>53</v>
      </c>
      <c r="J32" s="38" t="s">
        <v>54</v>
      </c>
      <c r="K32" s="38" t="s">
        <v>55</v>
      </c>
      <c r="L32" s="38" t="s">
        <v>56</v>
      </c>
      <c r="M32" s="38" t="s">
        <v>57</v>
      </c>
      <c r="N32" s="38" t="s">
        <v>58</v>
      </c>
      <c r="O32" s="37" t="s">
        <v>59</v>
      </c>
      <c r="P32" s="38" t="s">
        <v>60</v>
      </c>
      <c r="Q32" s="38" t="s">
        <v>61</v>
      </c>
      <c r="R32" s="38" t="s">
        <v>62</v>
      </c>
      <c r="S32" s="38" t="s">
        <v>63</v>
      </c>
      <c r="T32" s="38" t="s">
        <v>64</v>
      </c>
      <c r="U32" s="38" t="s">
        <v>65</v>
      </c>
      <c r="V32" s="37" t="s">
        <v>66</v>
      </c>
      <c r="W32" s="38" t="s">
        <v>67</v>
      </c>
      <c r="X32" s="38" t="s">
        <v>68</v>
      </c>
      <c r="Y32" s="38" t="s">
        <v>69</v>
      </c>
      <c r="Z32" s="38" t="s">
        <v>70</v>
      </c>
      <c r="AA32" s="38" t="s">
        <v>71</v>
      </c>
      <c r="AB32" s="38" t="s">
        <v>72</v>
      </c>
      <c r="AC32" s="37" t="s">
        <v>73</v>
      </c>
      <c r="AD32" s="38" t="s">
        <v>74</v>
      </c>
      <c r="AE32" s="38" t="s">
        <v>75</v>
      </c>
      <c r="AF32" s="33"/>
      <c r="AG32" s="73" t="s">
        <v>11</v>
      </c>
      <c r="AH32" s="73" t="s">
        <v>10</v>
      </c>
      <c r="AI32" s="73" t="s">
        <v>12</v>
      </c>
      <c r="AJ32" s="43" t="s">
        <v>221</v>
      </c>
      <c r="AK32" s="44" t="s">
        <v>184</v>
      </c>
      <c r="AL32" s="72" t="s">
        <v>185</v>
      </c>
    </row>
    <row r="33" spans="1:38" x14ac:dyDescent="0.25">
      <c r="A33" s="35" t="s">
        <v>231</v>
      </c>
      <c r="B33" s="74" t="s">
        <v>10</v>
      </c>
      <c r="C33" s="73"/>
      <c r="D33" s="74" t="s">
        <v>12</v>
      </c>
      <c r="E33" s="87"/>
      <c r="F33" s="84"/>
      <c r="G33" s="84"/>
      <c r="H33" s="84"/>
      <c r="I33" s="74" t="s">
        <v>12</v>
      </c>
      <c r="J33" s="74" t="s">
        <v>12</v>
      </c>
      <c r="K33" s="74" t="s">
        <v>10</v>
      </c>
      <c r="L33" s="33"/>
      <c r="M33" s="33"/>
      <c r="N33" s="33"/>
      <c r="O33" s="47"/>
      <c r="P33" s="33"/>
      <c r="Q33" s="33"/>
      <c r="R33" s="33"/>
      <c r="S33" s="33"/>
      <c r="T33" s="74" t="s">
        <v>10</v>
      </c>
      <c r="U33" s="74" t="s">
        <v>12</v>
      </c>
      <c r="V33" s="73" t="s">
        <v>12</v>
      </c>
      <c r="W33" s="33"/>
      <c r="X33" s="33"/>
      <c r="Y33" s="33"/>
      <c r="Z33" s="33"/>
      <c r="AA33" s="74" t="s">
        <v>10</v>
      </c>
      <c r="AB33" s="74" t="s">
        <v>12</v>
      </c>
      <c r="AC33" s="73" t="s">
        <v>12</v>
      </c>
      <c r="AD33" s="33"/>
      <c r="AE33" s="33"/>
      <c r="AF33" s="33"/>
      <c r="AG33" s="33">
        <v>0</v>
      </c>
      <c r="AH33" s="33">
        <v>4</v>
      </c>
      <c r="AI33" s="33">
        <v>7</v>
      </c>
      <c r="AJ33" s="48">
        <v>2</v>
      </c>
      <c r="AK33" s="49">
        <v>2</v>
      </c>
      <c r="AL33" s="49">
        <v>0</v>
      </c>
    </row>
    <row r="34" spans="1:38" x14ac:dyDescent="0.25">
      <c r="A34" s="35" t="s">
        <v>233</v>
      </c>
      <c r="B34" s="74" t="s">
        <v>12</v>
      </c>
      <c r="C34" s="73" t="s">
        <v>12</v>
      </c>
      <c r="D34" s="74" t="s">
        <v>10</v>
      </c>
      <c r="E34" s="33"/>
      <c r="F34" s="33"/>
      <c r="G34" s="33"/>
      <c r="H34" s="73" t="s">
        <v>10</v>
      </c>
      <c r="I34" s="33"/>
      <c r="J34" s="33"/>
      <c r="K34" s="33"/>
      <c r="L34" s="33"/>
      <c r="M34" s="74" t="s">
        <v>10</v>
      </c>
      <c r="N34" s="74" t="s">
        <v>12</v>
      </c>
      <c r="O34" s="73" t="s">
        <v>12</v>
      </c>
      <c r="P34" s="33"/>
      <c r="Q34" s="33"/>
      <c r="R34" s="33"/>
      <c r="S34" s="33"/>
      <c r="T34" s="74" t="s">
        <v>10</v>
      </c>
      <c r="U34" s="74" t="s">
        <v>12</v>
      </c>
      <c r="V34" s="73" t="s">
        <v>12</v>
      </c>
      <c r="W34" s="33"/>
      <c r="X34" s="33"/>
      <c r="Y34" s="33"/>
      <c r="Z34" s="74" t="s">
        <v>10</v>
      </c>
      <c r="AA34" s="74" t="s">
        <v>12</v>
      </c>
      <c r="AB34" s="74" t="s">
        <v>12</v>
      </c>
      <c r="AC34" s="47"/>
      <c r="AD34" s="74" t="s">
        <v>11</v>
      </c>
      <c r="AE34" s="74" t="s">
        <v>11</v>
      </c>
      <c r="AF34" s="33"/>
      <c r="AG34" s="33">
        <v>2</v>
      </c>
      <c r="AH34" s="33">
        <v>5</v>
      </c>
      <c r="AI34" s="33">
        <v>8</v>
      </c>
      <c r="AJ34" s="48">
        <v>3</v>
      </c>
      <c r="AK34" s="49">
        <v>3</v>
      </c>
      <c r="AL34" s="49">
        <v>1</v>
      </c>
    </row>
    <row r="35" spans="1:38" ht="15.75" x14ac:dyDescent="0.25">
      <c r="A35" s="35" t="s">
        <v>226</v>
      </c>
      <c r="B35" s="84"/>
      <c r="C35" s="84"/>
      <c r="D35" s="84"/>
      <c r="E35" s="84"/>
      <c r="F35" s="87"/>
      <c r="G35" s="87"/>
      <c r="H35" s="87"/>
      <c r="I35" s="84"/>
      <c r="J35" s="84"/>
      <c r="K35" s="84"/>
      <c r="L35" s="84"/>
      <c r="M35" s="74" t="s">
        <v>10</v>
      </c>
      <c r="N35" s="74" t="s">
        <v>12</v>
      </c>
      <c r="O35" s="73" t="s">
        <v>12</v>
      </c>
      <c r="P35" s="33"/>
      <c r="Q35" s="33"/>
      <c r="R35" s="33"/>
      <c r="S35" s="74" t="s">
        <v>10</v>
      </c>
      <c r="T35" s="74" t="s">
        <v>12</v>
      </c>
      <c r="U35" s="87"/>
      <c r="V35" s="84"/>
      <c r="W35" s="74" t="s">
        <v>11</v>
      </c>
      <c r="X35" s="74" t="s">
        <v>11</v>
      </c>
      <c r="Y35" s="74" t="s">
        <v>11</v>
      </c>
      <c r="Z35" s="74" t="s">
        <v>11</v>
      </c>
      <c r="AA35" s="74" t="s">
        <v>11</v>
      </c>
      <c r="AB35" s="33"/>
      <c r="AC35" s="47"/>
      <c r="AD35" s="46" t="s">
        <v>14</v>
      </c>
      <c r="AE35" s="46" t="s">
        <v>14</v>
      </c>
      <c r="AF35" s="33"/>
      <c r="AG35" s="33">
        <v>5</v>
      </c>
      <c r="AH35" s="33">
        <v>2</v>
      </c>
      <c r="AI35" s="33">
        <v>3</v>
      </c>
      <c r="AJ35" s="48">
        <v>1</v>
      </c>
      <c r="AK35" s="49">
        <v>1</v>
      </c>
      <c r="AL35" s="49">
        <v>0</v>
      </c>
    </row>
    <row r="36" spans="1:38" ht="15.75" x14ac:dyDescent="0.25">
      <c r="A36" s="35" t="s">
        <v>232</v>
      </c>
      <c r="B36" s="33"/>
      <c r="C36" s="47"/>
      <c r="D36" s="33"/>
      <c r="E36" s="33"/>
      <c r="F36" s="74" t="s">
        <v>10</v>
      </c>
      <c r="G36" s="74" t="s">
        <v>12</v>
      </c>
      <c r="H36" s="73" t="s">
        <v>12</v>
      </c>
      <c r="I36" s="33"/>
      <c r="J36" s="33"/>
      <c r="K36" s="33"/>
      <c r="L36" s="74" t="s">
        <v>10</v>
      </c>
      <c r="M36" s="74" t="s">
        <v>12</v>
      </c>
      <c r="N36" s="74" t="s">
        <v>12</v>
      </c>
      <c r="O36" s="47"/>
      <c r="P36" s="74" t="s">
        <v>11</v>
      </c>
      <c r="Q36" s="74" t="s">
        <v>11</v>
      </c>
      <c r="R36" s="74" t="s">
        <v>11</v>
      </c>
      <c r="S36" s="74" t="s">
        <v>11</v>
      </c>
      <c r="T36" s="74" t="s">
        <v>11</v>
      </c>
      <c r="U36" s="33"/>
      <c r="V36" s="47"/>
      <c r="W36" s="46" t="s">
        <v>14</v>
      </c>
      <c r="X36" s="46" t="s">
        <v>14</v>
      </c>
      <c r="Y36" s="46" t="s">
        <v>14</v>
      </c>
      <c r="Z36" s="46" t="s">
        <v>14</v>
      </c>
      <c r="AA36" s="46" t="s">
        <v>14</v>
      </c>
      <c r="AB36" s="46" t="s">
        <v>14</v>
      </c>
      <c r="AC36" s="45" t="s">
        <v>14</v>
      </c>
      <c r="AD36" s="74" t="s">
        <v>12</v>
      </c>
      <c r="AE36" s="74" t="s">
        <v>12</v>
      </c>
      <c r="AF36" s="33"/>
      <c r="AG36" s="33">
        <v>5</v>
      </c>
      <c r="AH36" s="33">
        <v>2</v>
      </c>
      <c r="AI36" s="33">
        <v>6</v>
      </c>
      <c r="AJ36" s="48">
        <v>2</v>
      </c>
      <c r="AK36" s="49">
        <v>1</v>
      </c>
      <c r="AL36" s="49">
        <v>0</v>
      </c>
    </row>
    <row r="37" spans="1:38" ht="15.75" x14ac:dyDescent="0.25">
      <c r="A37" s="35" t="s">
        <v>229</v>
      </c>
      <c r="B37" s="33"/>
      <c r="C37" s="47"/>
      <c r="D37" s="33" t="s">
        <v>12</v>
      </c>
      <c r="E37" s="74" t="s">
        <v>10</v>
      </c>
      <c r="F37" s="74"/>
      <c r="G37" s="74" t="s">
        <v>12</v>
      </c>
      <c r="H37" s="47"/>
      <c r="I37" s="74" t="s">
        <v>11</v>
      </c>
      <c r="J37" s="74" t="s">
        <v>11</v>
      </c>
      <c r="K37" s="74" t="s">
        <v>11</v>
      </c>
      <c r="L37" s="74" t="s">
        <v>11</v>
      </c>
      <c r="M37" s="74" t="s">
        <v>11</v>
      </c>
      <c r="N37" s="33"/>
      <c r="O37" s="47"/>
      <c r="P37" s="46" t="s">
        <v>14</v>
      </c>
      <c r="Q37" s="46" t="s">
        <v>14</v>
      </c>
      <c r="R37" s="46" t="s">
        <v>14</v>
      </c>
      <c r="S37" s="46" t="s">
        <v>14</v>
      </c>
      <c r="T37" s="46" t="s">
        <v>14</v>
      </c>
      <c r="U37" s="89" t="s">
        <v>12</v>
      </c>
      <c r="V37" s="45" t="s">
        <v>14</v>
      </c>
      <c r="W37" s="74" t="s">
        <v>12</v>
      </c>
      <c r="X37" s="74" t="s">
        <v>12</v>
      </c>
      <c r="Y37" s="74" t="s">
        <v>10</v>
      </c>
      <c r="Z37" s="33"/>
      <c r="AA37" s="33"/>
      <c r="AB37" s="33"/>
      <c r="AC37" s="47"/>
      <c r="AD37" s="33"/>
      <c r="AE37" s="33"/>
      <c r="AF37" s="33"/>
      <c r="AG37" s="33">
        <v>5</v>
      </c>
      <c r="AH37" s="33">
        <v>2</v>
      </c>
      <c r="AI37" s="33">
        <v>5</v>
      </c>
      <c r="AJ37" s="48">
        <v>2</v>
      </c>
      <c r="AK37" s="49">
        <v>0</v>
      </c>
      <c r="AL37" s="49">
        <v>0</v>
      </c>
    </row>
    <row r="38" spans="1:38" ht="15.75" x14ac:dyDescent="0.25">
      <c r="A38" s="35" t="s">
        <v>235</v>
      </c>
      <c r="B38" s="74" t="s">
        <v>11</v>
      </c>
      <c r="C38" s="73"/>
      <c r="D38" s="74" t="s">
        <v>11</v>
      </c>
      <c r="E38" s="74" t="s">
        <v>11</v>
      </c>
      <c r="F38" s="74" t="s">
        <v>11</v>
      </c>
      <c r="G38" s="33"/>
      <c r="H38" s="73" t="s">
        <v>11</v>
      </c>
      <c r="I38" s="46" t="s">
        <v>14</v>
      </c>
      <c r="J38" s="46" t="s">
        <v>14</v>
      </c>
      <c r="K38" s="46" t="s">
        <v>14</v>
      </c>
      <c r="L38" s="46" t="s">
        <v>14</v>
      </c>
      <c r="M38" s="46" t="s">
        <v>14</v>
      </c>
      <c r="N38" s="46" t="s">
        <v>14</v>
      </c>
      <c r="O38" s="45" t="s">
        <v>14</v>
      </c>
      <c r="P38" s="74" t="s">
        <v>12</v>
      </c>
      <c r="Q38" s="74" t="s">
        <v>12</v>
      </c>
      <c r="R38" s="74" t="s">
        <v>10</v>
      </c>
      <c r="S38" s="33"/>
      <c r="T38" s="33"/>
      <c r="U38" s="33"/>
      <c r="V38" s="47"/>
      <c r="W38" s="33"/>
      <c r="X38" s="33"/>
      <c r="Y38" s="33"/>
      <c r="Z38" s="74" t="s">
        <v>10</v>
      </c>
      <c r="AA38" s="74" t="s">
        <v>12</v>
      </c>
      <c r="AB38" s="74" t="s">
        <v>12</v>
      </c>
      <c r="AC38" s="47"/>
      <c r="AD38" s="74" t="s">
        <v>11</v>
      </c>
      <c r="AE38" s="74" t="s">
        <v>11</v>
      </c>
      <c r="AF38" s="33"/>
      <c r="AG38" s="33">
        <v>7</v>
      </c>
      <c r="AH38" s="33">
        <v>2</v>
      </c>
      <c r="AI38" s="33">
        <v>4</v>
      </c>
      <c r="AJ38" s="48">
        <v>1</v>
      </c>
      <c r="AK38" s="49">
        <v>1</v>
      </c>
      <c r="AL38" s="49">
        <v>0</v>
      </c>
    </row>
    <row r="39" spans="1:38" ht="15.75" x14ac:dyDescent="0.25">
      <c r="A39" s="35" t="s">
        <v>228</v>
      </c>
      <c r="B39" s="46" t="s">
        <v>14</v>
      </c>
      <c r="C39" s="45" t="s">
        <v>14</v>
      </c>
      <c r="D39" s="46" t="s">
        <v>14</v>
      </c>
      <c r="E39" s="46" t="s">
        <v>14</v>
      </c>
      <c r="F39" s="46" t="s">
        <v>14</v>
      </c>
      <c r="G39" s="89" t="s">
        <v>12</v>
      </c>
      <c r="H39" s="45" t="s">
        <v>14</v>
      </c>
      <c r="I39" s="74" t="s">
        <v>12</v>
      </c>
      <c r="J39" s="74" t="s">
        <v>12</v>
      </c>
      <c r="K39" s="74" t="s">
        <v>10</v>
      </c>
      <c r="L39" s="33"/>
      <c r="M39" s="33"/>
      <c r="N39" s="33"/>
      <c r="O39" s="47"/>
      <c r="P39" s="33"/>
      <c r="Q39" s="33"/>
      <c r="R39" s="33"/>
      <c r="S39" s="74" t="s">
        <v>10</v>
      </c>
      <c r="T39" s="74" t="s">
        <v>12</v>
      </c>
      <c r="U39" s="74" t="s">
        <v>12</v>
      </c>
      <c r="V39" s="47"/>
      <c r="W39" s="74" t="s">
        <v>11</v>
      </c>
      <c r="X39" s="74" t="s">
        <v>11</v>
      </c>
      <c r="Y39" s="74" t="s">
        <v>11</v>
      </c>
      <c r="Z39" s="74" t="s">
        <v>11</v>
      </c>
      <c r="AA39" s="74" t="s">
        <v>11</v>
      </c>
      <c r="AB39" s="33"/>
      <c r="AC39" s="47"/>
      <c r="AD39" s="74" t="s">
        <v>10</v>
      </c>
      <c r="AE39" s="74" t="s">
        <v>10</v>
      </c>
      <c r="AF39" s="33"/>
      <c r="AG39" s="33">
        <v>5</v>
      </c>
      <c r="AH39" s="33">
        <v>4</v>
      </c>
      <c r="AI39" s="33">
        <v>5</v>
      </c>
      <c r="AJ39" s="48">
        <v>2</v>
      </c>
      <c r="AK39" s="49">
        <v>0</v>
      </c>
      <c r="AL39" s="49">
        <v>0</v>
      </c>
    </row>
    <row r="40" spans="1:38" x14ac:dyDescent="0.25">
      <c r="A40" s="35" t="s">
        <v>234</v>
      </c>
      <c r="B40" s="74" t="s">
        <v>12</v>
      </c>
      <c r="C40" s="73" t="s">
        <v>12</v>
      </c>
      <c r="D40" s="74" t="s">
        <v>10</v>
      </c>
      <c r="E40" s="33"/>
      <c r="F40" s="74" t="s">
        <v>10</v>
      </c>
      <c r="G40" s="33"/>
      <c r="H40" s="47"/>
      <c r="I40" s="33"/>
      <c r="J40" s="33"/>
      <c r="K40" s="33"/>
      <c r="L40" s="74" t="s">
        <v>10</v>
      </c>
      <c r="M40" s="74" t="s">
        <v>12</v>
      </c>
      <c r="N40" s="74" t="s">
        <v>12</v>
      </c>
      <c r="O40" s="47"/>
      <c r="P40" s="74" t="s">
        <v>11</v>
      </c>
      <c r="Q40" s="74" t="s">
        <v>11</v>
      </c>
      <c r="R40" s="74" t="s">
        <v>11</v>
      </c>
      <c r="S40" s="74" t="s">
        <v>11</v>
      </c>
      <c r="T40" s="74" t="s">
        <v>11</v>
      </c>
      <c r="U40" s="33"/>
      <c r="V40" s="47"/>
      <c r="W40" s="74" t="s">
        <v>10</v>
      </c>
      <c r="X40" s="74" t="s">
        <v>10</v>
      </c>
      <c r="Y40" s="74" t="s">
        <v>12</v>
      </c>
      <c r="Z40" s="74" t="s">
        <v>12</v>
      </c>
      <c r="AA40" s="33"/>
      <c r="AB40" s="33"/>
      <c r="AC40" s="47"/>
      <c r="AD40" s="74" t="s">
        <v>10</v>
      </c>
      <c r="AE40" s="74" t="s">
        <v>10</v>
      </c>
      <c r="AF40" s="33"/>
      <c r="AG40" s="33">
        <v>5</v>
      </c>
      <c r="AH40" s="33">
        <v>7</v>
      </c>
      <c r="AI40" s="33">
        <v>6</v>
      </c>
      <c r="AJ40" s="48">
        <v>1</v>
      </c>
      <c r="AK40" s="49">
        <v>0</v>
      </c>
      <c r="AL40" s="49">
        <v>1</v>
      </c>
    </row>
    <row r="41" spans="1:38" x14ac:dyDescent="0.25">
      <c r="A41" s="35" t="s">
        <v>230</v>
      </c>
      <c r="B41" s="33"/>
      <c r="C41" s="47"/>
      <c r="D41" s="33"/>
      <c r="E41" s="74" t="s">
        <v>12</v>
      </c>
      <c r="F41" s="74" t="s">
        <v>12</v>
      </c>
      <c r="G41" s="74" t="s">
        <v>12</v>
      </c>
      <c r="H41" s="47"/>
      <c r="I41" s="74" t="s">
        <v>11</v>
      </c>
      <c r="J41" s="74" t="s">
        <v>11</v>
      </c>
      <c r="K41" s="74" t="s">
        <v>11</v>
      </c>
      <c r="L41" s="74" t="s">
        <v>11</v>
      </c>
      <c r="M41" s="74" t="s">
        <v>11</v>
      </c>
      <c r="N41" s="33"/>
      <c r="O41" s="47"/>
      <c r="P41" s="74" t="s">
        <v>10</v>
      </c>
      <c r="Q41" s="74" t="s">
        <v>10</v>
      </c>
      <c r="R41" s="74" t="s">
        <v>12</v>
      </c>
      <c r="S41" s="74" t="s">
        <v>12</v>
      </c>
      <c r="T41" s="33"/>
      <c r="U41" s="33"/>
      <c r="V41" s="47"/>
      <c r="W41" s="74" t="s">
        <v>10</v>
      </c>
      <c r="X41" s="74" t="s">
        <v>10</v>
      </c>
      <c r="Y41" s="74" t="s">
        <v>12</v>
      </c>
      <c r="Z41" s="74" t="s">
        <v>12</v>
      </c>
      <c r="AA41" s="33"/>
      <c r="AB41" s="33"/>
      <c r="AC41" s="47"/>
      <c r="AD41" s="74" t="s">
        <v>12</v>
      </c>
      <c r="AE41" s="74" t="s">
        <v>12</v>
      </c>
      <c r="AF41" s="33"/>
      <c r="AG41" s="33">
        <v>5</v>
      </c>
      <c r="AH41" s="33">
        <v>4</v>
      </c>
      <c r="AI41" s="33">
        <v>9</v>
      </c>
      <c r="AJ41" s="48">
        <v>1</v>
      </c>
      <c r="AK41" s="49">
        <v>0</v>
      </c>
      <c r="AL41" s="49">
        <v>0</v>
      </c>
    </row>
    <row r="42" spans="1:38" x14ac:dyDescent="0.25">
      <c r="A42" s="35" t="s">
        <v>227</v>
      </c>
      <c r="B42" s="74" t="s">
        <v>11</v>
      </c>
      <c r="C42" s="73"/>
      <c r="D42" s="74" t="s">
        <v>11</v>
      </c>
      <c r="E42" s="74" t="s">
        <v>12</v>
      </c>
      <c r="F42" s="74" t="s">
        <v>11</v>
      </c>
      <c r="G42" s="33"/>
      <c r="H42" s="47"/>
      <c r="I42" s="74" t="s">
        <v>10</v>
      </c>
      <c r="J42" s="74" t="s">
        <v>10</v>
      </c>
      <c r="K42" s="74" t="s">
        <v>12</v>
      </c>
      <c r="L42" s="74" t="s">
        <v>12</v>
      </c>
      <c r="M42" s="33"/>
      <c r="N42" s="33"/>
      <c r="O42" s="47"/>
      <c r="P42" s="74" t="s">
        <v>10</v>
      </c>
      <c r="Q42" s="74" t="s">
        <v>10</v>
      </c>
      <c r="R42" s="74" t="s">
        <v>12</v>
      </c>
      <c r="S42" s="74" t="s">
        <v>12</v>
      </c>
      <c r="T42" s="33"/>
      <c r="U42" s="33"/>
      <c r="V42" s="47"/>
      <c r="W42" s="74" t="s">
        <v>12</v>
      </c>
      <c r="X42" s="74" t="s">
        <v>12</v>
      </c>
      <c r="Y42" s="74" t="s">
        <v>10</v>
      </c>
      <c r="Z42" s="33"/>
      <c r="AA42" s="33"/>
      <c r="AB42" s="33"/>
      <c r="AC42" s="47"/>
      <c r="AD42" s="84"/>
      <c r="AE42" s="84"/>
      <c r="AF42" s="33"/>
      <c r="AG42" s="33">
        <v>3</v>
      </c>
      <c r="AH42" s="33">
        <v>5</v>
      </c>
      <c r="AI42" s="33">
        <v>7</v>
      </c>
      <c r="AJ42" s="48">
        <v>0</v>
      </c>
      <c r="AK42" s="49">
        <v>0</v>
      </c>
      <c r="AL42" s="49">
        <v>0</v>
      </c>
    </row>
    <row r="43" spans="1:38" x14ac:dyDescent="0.25">
      <c r="A43" s="35" t="s">
        <v>213</v>
      </c>
      <c r="B43" s="74" t="s">
        <v>10</v>
      </c>
      <c r="C43" s="73"/>
      <c r="D43" s="74"/>
      <c r="E43" s="74" t="s">
        <v>12</v>
      </c>
      <c r="F43" s="33" t="s">
        <v>12</v>
      </c>
      <c r="G43" s="90" t="s">
        <v>14</v>
      </c>
      <c r="H43" s="47"/>
      <c r="I43" s="74" t="s">
        <v>10</v>
      </c>
      <c r="J43" s="74" t="s">
        <v>10</v>
      </c>
      <c r="K43" s="74" t="s">
        <v>12</v>
      </c>
      <c r="L43" s="74" t="s">
        <v>12</v>
      </c>
      <c r="M43" s="33"/>
      <c r="N43" s="33"/>
      <c r="O43" s="47"/>
      <c r="P43" s="74" t="s">
        <v>12</v>
      </c>
      <c r="Q43" s="74" t="s">
        <v>12</v>
      </c>
      <c r="R43" s="74" t="s">
        <v>10</v>
      </c>
      <c r="S43" s="33"/>
      <c r="T43" s="33"/>
      <c r="U43" s="90" t="s">
        <v>14</v>
      </c>
      <c r="V43" s="47"/>
      <c r="W43" s="33"/>
      <c r="X43" s="33"/>
      <c r="Y43" s="33"/>
      <c r="Z43" s="33"/>
      <c r="AA43" s="74" t="s">
        <v>10</v>
      </c>
      <c r="AB43" s="74" t="s">
        <v>12</v>
      </c>
      <c r="AC43" s="73" t="s">
        <v>12</v>
      </c>
      <c r="AD43" s="33"/>
      <c r="AE43" s="33"/>
      <c r="AF43" s="33"/>
      <c r="AG43" s="33">
        <v>0</v>
      </c>
      <c r="AH43" s="33">
        <v>5</v>
      </c>
      <c r="AI43" s="33">
        <v>8</v>
      </c>
      <c r="AJ43" s="48">
        <v>1</v>
      </c>
      <c r="AK43" s="49">
        <v>1</v>
      </c>
      <c r="AL43" s="49">
        <v>0</v>
      </c>
    </row>
    <row r="44" spans="1:38" x14ac:dyDescent="0.25">
      <c r="A44" s="53" t="s">
        <v>224</v>
      </c>
      <c r="B44" s="54">
        <v>6</v>
      </c>
      <c r="C44" s="39">
        <v>2</v>
      </c>
      <c r="D44" s="54">
        <v>6</v>
      </c>
      <c r="E44" s="54">
        <v>5</v>
      </c>
      <c r="F44" s="54">
        <v>6</v>
      </c>
      <c r="G44" s="54">
        <v>4</v>
      </c>
      <c r="H44" s="39">
        <v>3</v>
      </c>
      <c r="I44" s="54">
        <v>6</v>
      </c>
      <c r="J44" s="54">
        <v>6</v>
      </c>
      <c r="K44" s="54">
        <v>6</v>
      </c>
      <c r="L44" s="54">
        <v>6</v>
      </c>
      <c r="M44" s="54">
        <v>6</v>
      </c>
      <c r="N44" s="54">
        <v>4</v>
      </c>
      <c r="O44" s="39">
        <v>2</v>
      </c>
      <c r="P44" s="54">
        <v>6</v>
      </c>
      <c r="Q44" s="54">
        <v>6</v>
      </c>
      <c r="R44" s="54">
        <v>6</v>
      </c>
      <c r="S44" s="54">
        <v>6</v>
      </c>
      <c r="T44" s="54">
        <v>6</v>
      </c>
      <c r="U44" s="54">
        <v>4</v>
      </c>
      <c r="V44" s="39">
        <v>2</v>
      </c>
      <c r="W44" s="54">
        <v>6</v>
      </c>
      <c r="X44" s="54">
        <v>6</v>
      </c>
      <c r="Y44" s="54">
        <v>6</v>
      </c>
      <c r="Z44" s="54">
        <v>6</v>
      </c>
      <c r="AA44" s="54">
        <v>6</v>
      </c>
      <c r="AB44" s="54">
        <v>4</v>
      </c>
      <c r="AC44" s="39">
        <v>2</v>
      </c>
      <c r="AD44" s="54">
        <v>6</v>
      </c>
      <c r="AE44" s="54">
        <v>6</v>
      </c>
    </row>
    <row r="45" spans="1:38" x14ac:dyDescent="0.25">
      <c r="B45" s="138" t="s">
        <v>223</v>
      </c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</row>
    <row r="46" spans="1:38" ht="17.25" x14ac:dyDescent="0.3">
      <c r="A46" s="26" t="s">
        <v>189</v>
      </c>
    </row>
    <row r="47" spans="1:38" ht="30" x14ac:dyDescent="0.25">
      <c r="A47" s="52" t="s">
        <v>13</v>
      </c>
      <c r="B47" s="51" t="s">
        <v>46</v>
      </c>
      <c r="C47" s="50" t="s">
        <v>47</v>
      </c>
      <c r="D47" s="51" t="s">
        <v>48</v>
      </c>
      <c r="E47" s="51" t="s">
        <v>49</v>
      </c>
      <c r="F47" s="51" t="s">
        <v>50</v>
      </c>
      <c r="G47" s="51" t="s">
        <v>51</v>
      </c>
      <c r="H47" s="50" t="s">
        <v>52</v>
      </c>
      <c r="I47" s="51" t="s">
        <v>53</v>
      </c>
      <c r="J47" s="51" t="s">
        <v>54</v>
      </c>
      <c r="K47" s="51" t="s">
        <v>55</v>
      </c>
      <c r="L47" s="51" t="s">
        <v>56</v>
      </c>
      <c r="M47" s="51" t="s">
        <v>57</v>
      </c>
      <c r="N47" s="51" t="s">
        <v>58</v>
      </c>
      <c r="O47" s="50" t="s">
        <v>59</v>
      </c>
      <c r="P47" s="51" t="s">
        <v>60</v>
      </c>
      <c r="Q47" s="51" t="s">
        <v>61</v>
      </c>
      <c r="R47" s="51" t="s">
        <v>62</v>
      </c>
      <c r="S47" s="51" t="s">
        <v>63</v>
      </c>
      <c r="T47" s="51" t="s">
        <v>64</v>
      </c>
      <c r="U47" s="51" t="s">
        <v>65</v>
      </c>
      <c r="V47" s="50" t="s">
        <v>66</v>
      </c>
      <c r="W47" s="51" t="s">
        <v>67</v>
      </c>
      <c r="X47" s="51" t="s">
        <v>68</v>
      </c>
      <c r="Y47" s="51" t="s">
        <v>69</v>
      </c>
      <c r="Z47" s="51" t="s">
        <v>70</v>
      </c>
      <c r="AA47" s="51" t="s">
        <v>71</v>
      </c>
      <c r="AB47" s="51" t="s">
        <v>72</v>
      </c>
      <c r="AC47" s="50" t="s">
        <v>73</v>
      </c>
      <c r="AD47" s="51" t="s">
        <v>74</v>
      </c>
      <c r="AE47" s="51" t="s">
        <v>75</v>
      </c>
    </row>
    <row r="48" spans="1:38" x14ac:dyDescent="0.25">
      <c r="A48" s="35" t="s">
        <v>231</v>
      </c>
      <c r="B48" s="33"/>
      <c r="C48" s="47"/>
      <c r="D48" s="33"/>
      <c r="E48" s="33"/>
      <c r="F48" s="33"/>
      <c r="G48" s="33"/>
      <c r="H48" s="47"/>
      <c r="I48" s="33"/>
      <c r="J48" s="33"/>
      <c r="K48" s="74" t="s">
        <v>211</v>
      </c>
      <c r="L48" s="33"/>
      <c r="M48" s="33"/>
      <c r="N48" s="33"/>
      <c r="O48" s="47"/>
      <c r="P48" s="33"/>
      <c r="Q48" s="33"/>
      <c r="R48" s="33"/>
      <c r="S48" s="33"/>
      <c r="T48" s="74" t="s">
        <v>211</v>
      </c>
      <c r="U48" s="33"/>
      <c r="V48" s="47"/>
      <c r="W48" s="33"/>
      <c r="X48" s="33"/>
      <c r="Y48" s="33"/>
      <c r="Z48" s="33"/>
      <c r="AA48" s="74" t="s">
        <v>211</v>
      </c>
      <c r="AB48" s="33"/>
      <c r="AC48" s="47"/>
      <c r="AD48" s="33"/>
      <c r="AE48" s="33"/>
    </row>
    <row r="49" spans="1:39" x14ac:dyDescent="0.25">
      <c r="A49" s="35" t="s">
        <v>233</v>
      </c>
      <c r="B49" s="33"/>
      <c r="C49" s="47"/>
      <c r="D49" s="74" t="s">
        <v>211</v>
      </c>
      <c r="E49" s="33"/>
      <c r="F49" s="33"/>
      <c r="G49" s="33"/>
      <c r="H49" s="47"/>
      <c r="I49" s="33"/>
      <c r="J49" s="33"/>
      <c r="K49" s="33"/>
      <c r="L49" s="33"/>
      <c r="M49" s="74" t="s">
        <v>211</v>
      </c>
      <c r="N49" s="33"/>
      <c r="O49" s="47"/>
      <c r="P49" s="33"/>
      <c r="Q49" s="33"/>
      <c r="R49" s="33"/>
      <c r="S49" s="33"/>
      <c r="T49" s="74" t="s">
        <v>211</v>
      </c>
      <c r="U49" s="33"/>
      <c r="V49" s="47"/>
      <c r="W49" s="33"/>
      <c r="X49" s="33"/>
      <c r="Y49" s="33"/>
      <c r="Z49" s="74" t="s">
        <v>211</v>
      </c>
      <c r="AA49" s="33"/>
      <c r="AB49" s="33"/>
      <c r="AC49" s="47"/>
      <c r="AD49" s="33"/>
      <c r="AE49" s="74" t="s">
        <v>211</v>
      </c>
    </row>
    <row r="50" spans="1:39" x14ac:dyDescent="0.25">
      <c r="A50" s="35" t="s">
        <v>226</v>
      </c>
      <c r="B50" s="33"/>
      <c r="C50" s="47"/>
      <c r="D50" s="33"/>
      <c r="E50" s="33"/>
      <c r="F50" s="74" t="s">
        <v>211</v>
      </c>
      <c r="G50" s="33"/>
      <c r="H50" s="47"/>
      <c r="I50" s="33"/>
      <c r="J50" s="33"/>
      <c r="K50" s="33"/>
      <c r="L50" s="33"/>
      <c r="M50" s="74" t="s">
        <v>211</v>
      </c>
      <c r="N50" s="33"/>
      <c r="O50" s="47"/>
      <c r="P50" s="33"/>
      <c r="Q50" s="33"/>
      <c r="R50" s="33"/>
      <c r="S50" s="74" t="s">
        <v>211</v>
      </c>
      <c r="T50" s="33"/>
      <c r="U50" s="33"/>
      <c r="V50" s="47"/>
      <c r="W50" s="33"/>
      <c r="X50" s="74" t="s">
        <v>211</v>
      </c>
      <c r="Y50" s="33"/>
      <c r="Z50" s="33"/>
      <c r="AA50" s="33"/>
      <c r="AB50" s="33"/>
      <c r="AC50" s="47"/>
      <c r="AD50" s="33"/>
      <c r="AE50" s="33"/>
    </row>
    <row r="51" spans="1:39" x14ac:dyDescent="0.25">
      <c r="A51" s="35" t="s">
        <v>232</v>
      </c>
      <c r="B51" s="33"/>
      <c r="C51" s="47"/>
      <c r="D51" s="33"/>
      <c r="E51" s="33"/>
      <c r="F51" s="74" t="s">
        <v>211</v>
      </c>
      <c r="G51" s="33"/>
      <c r="H51" s="47"/>
      <c r="I51" s="33"/>
      <c r="J51" s="33"/>
      <c r="K51" s="33"/>
      <c r="L51" s="74" t="s">
        <v>211</v>
      </c>
      <c r="M51" s="33"/>
      <c r="N51" s="33"/>
      <c r="O51" s="47"/>
      <c r="P51" s="33"/>
      <c r="Q51" s="74" t="s">
        <v>211</v>
      </c>
      <c r="R51" s="33"/>
      <c r="S51" s="33"/>
      <c r="T51" s="33"/>
      <c r="U51" s="33"/>
      <c r="V51" s="47"/>
      <c r="W51" s="33"/>
      <c r="X51" s="33"/>
      <c r="Y51" s="33"/>
      <c r="Z51" s="33"/>
      <c r="AA51" s="33"/>
      <c r="AB51" s="33"/>
      <c r="AC51" s="47"/>
      <c r="AD51" s="33"/>
      <c r="AE51" s="33"/>
    </row>
    <row r="52" spans="1:39" x14ac:dyDescent="0.25">
      <c r="A52" s="35" t="s">
        <v>229</v>
      </c>
      <c r="B52" s="33"/>
      <c r="C52" s="47"/>
      <c r="D52" s="33"/>
      <c r="E52" s="74" t="s">
        <v>211</v>
      </c>
      <c r="F52" s="33"/>
      <c r="G52" s="33"/>
      <c r="H52" s="47"/>
      <c r="I52" s="33"/>
      <c r="J52" s="74" t="s">
        <v>211</v>
      </c>
      <c r="K52" s="33"/>
      <c r="L52" s="33"/>
      <c r="M52" s="33"/>
      <c r="N52" s="33"/>
      <c r="O52" s="47"/>
      <c r="P52" s="33"/>
      <c r="Q52" s="33"/>
      <c r="R52" s="33"/>
      <c r="S52" s="33"/>
      <c r="T52" s="33"/>
      <c r="U52" s="33"/>
      <c r="V52" s="47"/>
      <c r="W52" s="33"/>
      <c r="X52" s="33"/>
      <c r="Y52" s="74" t="s">
        <v>211</v>
      </c>
      <c r="Z52" s="33"/>
      <c r="AA52" s="33"/>
      <c r="AB52" s="33"/>
      <c r="AC52" s="47"/>
      <c r="AD52" s="33"/>
      <c r="AE52" s="33"/>
    </row>
    <row r="53" spans="1:39" x14ac:dyDescent="0.25">
      <c r="A53" s="35" t="s">
        <v>235</v>
      </c>
      <c r="B53" s="33"/>
      <c r="C53" s="73" t="s">
        <v>211</v>
      </c>
      <c r="D53" s="33"/>
      <c r="E53" s="33"/>
      <c r="F53" s="33"/>
      <c r="G53" s="33"/>
      <c r="H53" s="47"/>
      <c r="I53" s="33"/>
      <c r="J53" s="33"/>
      <c r="K53" s="33"/>
      <c r="L53" s="33"/>
      <c r="M53" s="33"/>
      <c r="N53" s="33"/>
      <c r="O53" s="47"/>
      <c r="P53" s="33"/>
      <c r="Q53" s="33"/>
      <c r="R53" s="74" t="s">
        <v>211</v>
      </c>
      <c r="S53" s="33"/>
      <c r="T53" s="33"/>
      <c r="U53" s="33"/>
      <c r="V53" s="47"/>
      <c r="W53" s="33"/>
      <c r="X53" s="33"/>
      <c r="Y53" s="33"/>
      <c r="Z53" s="74" t="s">
        <v>211</v>
      </c>
      <c r="AA53" s="33"/>
      <c r="AB53" s="33"/>
      <c r="AC53" s="47"/>
      <c r="AD53" s="74" t="s">
        <v>212</v>
      </c>
      <c r="AE53" s="33"/>
    </row>
    <row r="54" spans="1:39" x14ac:dyDescent="0.25">
      <c r="A54" s="35" t="s">
        <v>228</v>
      </c>
      <c r="B54" s="33"/>
      <c r="C54" s="47"/>
      <c r="D54" s="33"/>
      <c r="E54" s="33"/>
      <c r="F54" s="33"/>
      <c r="G54" s="33"/>
      <c r="H54" s="47"/>
      <c r="I54" s="33"/>
      <c r="J54" s="33"/>
      <c r="K54" s="74" t="s">
        <v>211</v>
      </c>
      <c r="L54" s="33"/>
      <c r="M54" s="33"/>
      <c r="N54" s="33"/>
      <c r="O54" s="47"/>
      <c r="P54" s="33"/>
      <c r="Q54" s="33"/>
      <c r="R54" s="33"/>
      <c r="S54" s="74" t="s">
        <v>211</v>
      </c>
      <c r="T54" s="33"/>
      <c r="U54" s="33"/>
      <c r="V54" s="47"/>
      <c r="W54" s="74" t="s">
        <v>212</v>
      </c>
      <c r="X54" s="33"/>
      <c r="Y54" s="33"/>
      <c r="Z54" s="33"/>
      <c r="AA54" s="33"/>
      <c r="AB54" s="33"/>
      <c r="AC54" s="47"/>
      <c r="AD54" s="33"/>
      <c r="AE54" s="33"/>
    </row>
    <row r="55" spans="1:39" x14ac:dyDescent="0.25">
      <c r="A55" s="35" t="s">
        <v>234</v>
      </c>
      <c r="B55" s="33"/>
      <c r="C55" s="47"/>
      <c r="D55" s="74" t="s">
        <v>211</v>
      </c>
      <c r="E55" s="33"/>
      <c r="F55" s="33"/>
      <c r="G55" s="33"/>
      <c r="H55" s="47"/>
      <c r="I55" s="33"/>
      <c r="J55" s="33"/>
      <c r="K55" s="33"/>
      <c r="L55" s="74" t="s">
        <v>211</v>
      </c>
      <c r="M55" s="33"/>
      <c r="N55" s="33"/>
      <c r="O55" s="47"/>
      <c r="P55" s="74" t="s">
        <v>212</v>
      </c>
      <c r="Q55" s="33"/>
      <c r="R55" s="33"/>
      <c r="S55" s="33"/>
      <c r="T55" s="33"/>
      <c r="U55" s="33"/>
      <c r="V55" s="47"/>
      <c r="W55" s="33"/>
      <c r="X55" s="33"/>
      <c r="Y55" s="33"/>
      <c r="Z55" s="33"/>
      <c r="AA55" s="33"/>
      <c r="AB55" s="33"/>
      <c r="AC55" s="47"/>
      <c r="AD55" s="33"/>
      <c r="AE55" s="33"/>
    </row>
    <row r="56" spans="1:39" x14ac:dyDescent="0.25">
      <c r="A56" s="35" t="s">
        <v>230</v>
      </c>
      <c r="B56" s="33"/>
      <c r="C56" s="47"/>
      <c r="D56" s="33"/>
      <c r="E56" s="74" t="s">
        <v>211</v>
      </c>
      <c r="F56" s="33"/>
      <c r="G56" s="33"/>
      <c r="H56" s="47"/>
      <c r="I56" s="74" t="s">
        <v>212</v>
      </c>
      <c r="J56" s="33"/>
      <c r="K56" s="33"/>
      <c r="L56" s="33"/>
      <c r="M56" s="33"/>
      <c r="N56" s="33"/>
      <c r="O56" s="47"/>
      <c r="P56" s="33"/>
      <c r="Q56" s="33"/>
      <c r="R56" s="33"/>
      <c r="S56" s="33"/>
      <c r="T56" s="33"/>
      <c r="U56" s="33"/>
      <c r="V56" s="47"/>
      <c r="W56" s="33"/>
      <c r="X56" s="33"/>
      <c r="Y56" s="33"/>
      <c r="Z56" s="33"/>
      <c r="AA56" s="33"/>
      <c r="AB56" s="33"/>
      <c r="AC56" s="47"/>
      <c r="AD56" s="33"/>
      <c r="AE56" s="33"/>
    </row>
    <row r="57" spans="1:39" x14ac:dyDescent="0.25">
      <c r="A57" s="35" t="s">
        <v>227</v>
      </c>
      <c r="B57" s="74" t="s">
        <v>212</v>
      </c>
      <c r="C57" s="47"/>
      <c r="D57" s="33"/>
      <c r="E57" s="33"/>
      <c r="F57" s="33"/>
      <c r="G57" s="33"/>
      <c r="H57" s="47"/>
      <c r="I57" s="33"/>
      <c r="J57" s="33"/>
      <c r="K57" s="33"/>
      <c r="L57" s="33"/>
      <c r="M57" s="33"/>
      <c r="N57" s="33"/>
      <c r="O57" s="47"/>
      <c r="P57" s="33"/>
      <c r="Q57" s="33"/>
      <c r="R57" s="33"/>
      <c r="S57" s="33"/>
      <c r="T57" s="33"/>
      <c r="U57" s="33"/>
      <c r="V57" s="47"/>
      <c r="W57" s="33"/>
      <c r="X57" s="33"/>
      <c r="Y57" s="74" t="s">
        <v>211</v>
      </c>
      <c r="Z57" s="33"/>
      <c r="AA57" s="33"/>
      <c r="AB57" s="33"/>
      <c r="AC57" s="47"/>
      <c r="AD57" s="33"/>
      <c r="AE57" s="33"/>
    </row>
    <row r="58" spans="1:39" x14ac:dyDescent="0.25">
      <c r="A58" s="35" t="s">
        <v>213</v>
      </c>
      <c r="B58" s="33"/>
      <c r="C58" s="47"/>
      <c r="D58" s="33"/>
      <c r="E58" s="33"/>
      <c r="F58" s="33"/>
      <c r="G58" s="33"/>
      <c r="H58" s="47"/>
      <c r="I58" s="33"/>
      <c r="J58" s="33"/>
      <c r="K58" s="33"/>
      <c r="L58" s="33"/>
      <c r="M58" s="33"/>
      <c r="N58" s="33"/>
      <c r="O58" s="47"/>
      <c r="P58" s="33"/>
      <c r="Q58" s="33"/>
      <c r="R58" s="74" t="s">
        <v>211</v>
      </c>
      <c r="S58" s="33"/>
      <c r="T58" s="33"/>
      <c r="U58" s="33"/>
      <c r="V58" s="47"/>
      <c r="W58" s="33"/>
      <c r="X58" s="33"/>
      <c r="Y58" s="33"/>
      <c r="Z58" s="33"/>
      <c r="AA58" s="74" t="s">
        <v>211</v>
      </c>
      <c r="AB58" s="33"/>
      <c r="AC58" s="47"/>
      <c r="AD58" s="33"/>
      <c r="AE58" s="33"/>
    </row>
    <row r="61" spans="1:39" ht="18.75" x14ac:dyDescent="0.3">
      <c r="A61" s="22" t="s">
        <v>206</v>
      </c>
    </row>
    <row r="62" spans="1:39" ht="30" x14ac:dyDescent="0.25">
      <c r="A62" s="34" t="s">
        <v>13</v>
      </c>
      <c r="B62" s="38" t="s">
        <v>76</v>
      </c>
      <c r="C62" s="38" t="s">
        <v>77</v>
      </c>
      <c r="D62" s="38" t="s">
        <v>78</v>
      </c>
      <c r="E62" s="38" t="s">
        <v>79</v>
      </c>
      <c r="F62" s="37" t="s">
        <v>80</v>
      </c>
      <c r="G62" s="38" t="s">
        <v>81</v>
      </c>
      <c r="H62" s="38" t="s">
        <v>82</v>
      </c>
      <c r="I62" s="38" t="s">
        <v>83</v>
      </c>
      <c r="J62" s="38" t="s">
        <v>84</v>
      </c>
      <c r="K62" s="38" t="s">
        <v>85</v>
      </c>
      <c r="L62" s="38" t="s">
        <v>86</v>
      </c>
      <c r="M62" s="37" t="s">
        <v>87</v>
      </c>
      <c r="N62" s="38" t="s">
        <v>88</v>
      </c>
      <c r="O62" s="38" t="s">
        <v>89</v>
      </c>
      <c r="P62" s="38" t="s">
        <v>90</v>
      </c>
      <c r="Q62" s="38" t="s">
        <v>91</v>
      </c>
      <c r="R62" s="38" t="s">
        <v>92</v>
      </c>
      <c r="S62" s="38" t="s">
        <v>93</v>
      </c>
      <c r="T62" s="37" t="s">
        <v>94</v>
      </c>
      <c r="U62" s="38" t="s">
        <v>95</v>
      </c>
      <c r="V62" s="38" t="s">
        <v>96</v>
      </c>
      <c r="W62" s="38" t="s">
        <v>97</v>
      </c>
      <c r="X62" s="38" t="s">
        <v>98</v>
      </c>
      <c r="Y62" s="38" t="s">
        <v>99</v>
      </c>
      <c r="Z62" s="38" t="s">
        <v>100</v>
      </c>
      <c r="AA62" s="37" t="s">
        <v>101</v>
      </c>
      <c r="AB62" s="38" t="s">
        <v>102</v>
      </c>
      <c r="AC62" s="38" t="s">
        <v>103</v>
      </c>
      <c r="AD62" s="38" t="s">
        <v>104</v>
      </c>
      <c r="AE62" s="38" t="s">
        <v>105</v>
      </c>
      <c r="AF62" s="38" t="s">
        <v>106</v>
      </c>
      <c r="AG62" s="33"/>
      <c r="AH62" s="73" t="s">
        <v>11</v>
      </c>
      <c r="AI62" s="73" t="s">
        <v>10</v>
      </c>
      <c r="AJ62" s="73" t="s">
        <v>12</v>
      </c>
      <c r="AK62" s="43" t="s">
        <v>221</v>
      </c>
      <c r="AL62" s="44" t="s">
        <v>184</v>
      </c>
      <c r="AM62" s="72" t="s">
        <v>185</v>
      </c>
    </row>
    <row r="63" spans="1:39" ht="15.75" x14ac:dyDescent="0.25">
      <c r="A63" s="35" t="s">
        <v>231</v>
      </c>
      <c r="B63" s="33"/>
      <c r="C63" s="87"/>
      <c r="D63" s="87"/>
      <c r="E63" s="87"/>
      <c r="F63" s="47"/>
      <c r="G63" s="74" t="s">
        <v>11</v>
      </c>
      <c r="H63" s="74" t="s">
        <v>11</v>
      </c>
      <c r="I63" s="74" t="s">
        <v>12</v>
      </c>
      <c r="J63" s="74" t="s">
        <v>11</v>
      </c>
      <c r="K63" s="74" t="s">
        <v>11</v>
      </c>
      <c r="L63" s="33"/>
      <c r="M63" s="47"/>
      <c r="N63" s="46" t="s">
        <v>14</v>
      </c>
      <c r="O63" s="46" t="s">
        <v>14</v>
      </c>
      <c r="P63" s="46" t="s">
        <v>14</v>
      </c>
      <c r="Q63" s="46" t="s">
        <v>14</v>
      </c>
      <c r="R63" s="46" t="s">
        <v>14</v>
      </c>
      <c r="S63" s="89" t="s">
        <v>12</v>
      </c>
      <c r="T63" s="91" t="s">
        <v>10</v>
      </c>
      <c r="U63" s="74" t="s">
        <v>12</v>
      </c>
      <c r="V63" s="74" t="s">
        <v>12</v>
      </c>
      <c r="W63" s="74" t="s">
        <v>10</v>
      </c>
      <c r="X63" s="33"/>
      <c r="Y63" s="86"/>
      <c r="Z63" s="84"/>
      <c r="AA63" s="84"/>
      <c r="AB63" s="84"/>
      <c r="AC63" s="33"/>
      <c r="AD63" s="33"/>
      <c r="AE63" s="74" t="s">
        <v>10</v>
      </c>
      <c r="AF63" s="74" t="s">
        <v>12</v>
      </c>
      <c r="AG63" s="33"/>
      <c r="AH63" s="33">
        <v>4</v>
      </c>
      <c r="AI63" s="33">
        <v>3</v>
      </c>
      <c r="AJ63" s="33">
        <v>5</v>
      </c>
      <c r="AK63" s="48">
        <v>1</v>
      </c>
      <c r="AL63" s="49">
        <v>1</v>
      </c>
      <c r="AM63" s="49">
        <v>0</v>
      </c>
    </row>
    <row r="64" spans="1:39" ht="15.75" x14ac:dyDescent="0.25">
      <c r="A64" s="35" t="s">
        <v>233</v>
      </c>
      <c r="B64" s="74" t="s">
        <v>11</v>
      </c>
      <c r="C64" s="74" t="s">
        <v>12</v>
      </c>
      <c r="D64" s="74" t="s">
        <v>11</v>
      </c>
      <c r="E64" s="33"/>
      <c r="F64" s="47"/>
      <c r="G64" s="46" t="s">
        <v>14</v>
      </c>
      <c r="H64" s="46" t="s">
        <v>14</v>
      </c>
      <c r="I64" s="46" t="s">
        <v>14</v>
      </c>
      <c r="J64" s="46" t="s">
        <v>14</v>
      </c>
      <c r="K64" s="46" t="s">
        <v>14</v>
      </c>
      <c r="L64" s="46" t="s">
        <v>14</v>
      </c>
      <c r="M64" s="45" t="s">
        <v>14</v>
      </c>
      <c r="N64" s="74" t="s">
        <v>12</v>
      </c>
      <c r="O64" s="74" t="s">
        <v>12</v>
      </c>
      <c r="P64" s="87"/>
      <c r="Q64" s="84"/>
      <c r="R64" s="84"/>
      <c r="S64" s="84"/>
      <c r="T64" s="84"/>
      <c r="U64" s="84"/>
      <c r="V64" s="84"/>
      <c r="W64" s="84"/>
      <c r="X64" s="87"/>
      <c r="Y64" s="85" t="s">
        <v>12</v>
      </c>
      <c r="Z64" s="74" t="s">
        <v>12</v>
      </c>
      <c r="AA64" s="47"/>
      <c r="AB64" s="74" t="s">
        <v>11</v>
      </c>
      <c r="AC64" s="74" t="s">
        <v>12</v>
      </c>
      <c r="AD64" s="74" t="s">
        <v>11</v>
      </c>
      <c r="AE64" s="74" t="s">
        <v>11</v>
      </c>
      <c r="AF64" s="74" t="s">
        <v>12</v>
      </c>
      <c r="AG64" s="33"/>
      <c r="AH64" s="33">
        <v>5</v>
      </c>
      <c r="AI64" s="33">
        <v>0</v>
      </c>
      <c r="AJ64" s="33">
        <v>7</v>
      </c>
      <c r="AK64" s="48">
        <v>1</v>
      </c>
      <c r="AL64" s="49">
        <v>0</v>
      </c>
      <c r="AM64" s="49">
        <v>0</v>
      </c>
    </row>
    <row r="65" spans="1:39" ht="15.75" x14ac:dyDescent="0.25">
      <c r="A65" s="35" t="s">
        <v>226</v>
      </c>
      <c r="B65" s="46" t="s">
        <v>14</v>
      </c>
      <c r="C65" s="46" t="s">
        <v>14</v>
      </c>
      <c r="D65" s="46" t="s">
        <v>14</v>
      </c>
      <c r="E65" s="46" t="s">
        <v>14</v>
      </c>
      <c r="F65" s="91" t="s">
        <v>12</v>
      </c>
      <c r="G65" s="74" t="s">
        <v>12</v>
      </c>
      <c r="H65" s="74" t="s">
        <v>12</v>
      </c>
      <c r="I65" s="74" t="s">
        <v>10</v>
      </c>
      <c r="J65" s="33"/>
      <c r="K65" s="84"/>
      <c r="L65" s="84"/>
      <c r="M65" s="84"/>
      <c r="N65" s="84"/>
      <c r="O65" s="84"/>
      <c r="P65" s="84"/>
      <c r="Q65" s="74" t="s">
        <v>10</v>
      </c>
      <c r="R65" s="74" t="s">
        <v>12</v>
      </c>
      <c r="S65" s="74" t="s">
        <v>12</v>
      </c>
      <c r="T65" s="73" t="s">
        <v>11</v>
      </c>
      <c r="U65" s="74" t="s">
        <v>11</v>
      </c>
      <c r="V65" s="74" t="s">
        <v>11</v>
      </c>
      <c r="W65" s="74" t="s">
        <v>11</v>
      </c>
      <c r="X65" s="74" t="s">
        <v>12</v>
      </c>
      <c r="Y65" s="74" t="s">
        <v>11</v>
      </c>
      <c r="Z65" s="33"/>
      <c r="AA65" s="47"/>
      <c r="AB65" s="74" t="s">
        <v>10</v>
      </c>
      <c r="AC65" s="74" t="s">
        <v>12</v>
      </c>
      <c r="AD65" s="74" t="s">
        <v>12</v>
      </c>
      <c r="AE65" s="74" t="s">
        <v>12</v>
      </c>
      <c r="AF65" s="90" t="s">
        <v>14</v>
      </c>
      <c r="AG65" s="33"/>
      <c r="AH65" s="33">
        <v>5</v>
      </c>
      <c r="AI65" s="33">
        <v>3</v>
      </c>
      <c r="AJ65" s="33">
        <v>9</v>
      </c>
      <c r="AK65" s="48">
        <v>1</v>
      </c>
      <c r="AL65" s="49">
        <v>2</v>
      </c>
      <c r="AM65" s="49">
        <v>0</v>
      </c>
    </row>
    <row r="66" spans="1:39" x14ac:dyDescent="0.25">
      <c r="A66" s="35" t="s">
        <v>232</v>
      </c>
      <c r="B66" s="74" t="s">
        <v>10</v>
      </c>
      <c r="C66" s="33"/>
      <c r="D66" s="33"/>
      <c r="E66" s="74" t="s">
        <v>12</v>
      </c>
      <c r="F66" s="47"/>
      <c r="G66" s="33"/>
      <c r="H66" s="33"/>
      <c r="I66" s="33"/>
      <c r="J66" s="74" t="s">
        <v>10</v>
      </c>
      <c r="K66" s="74" t="s">
        <v>12</v>
      </c>
      <c r="L66" s="74" t="s">
        <v>12</v>
      </c>
      <c r="M66" s="47"/>
      <c r="N66" s="74" t="s">
        <v>11</v>
      </c>
      <c r="O66" s="74" t="s">
        <v>11</v>
      </c>
      <c r="P66" s="74" t="s">
        <v>12</v>
      </c>
      <c r="Q66" s="74" t="s">
        <v>11</v>
      </c>
      <c r="R66" s="74" t="s">
        <v>12</v>
      </c>
      <c r="S66" s="33"/>
      <c r="T66" s="47"/>
      <c r="U66" s="74" t="s">
        <v>10</v>
      </c>
      <c r="V66" s="74" t="s">
        <v>10</v>
      </c>
      <c r="W66" s="74" t="s">
        <v>12</v>
      </c>
      <c r="X66" s="74" t="s">
        <v>12</v>
      </c>
      <c r="Y66" s="33"/>
      <c r="Z66" s="33"/>
      <c r="AA66" s="47"/>
      <c r="AB66" s="74" t="s">
        <v>12</v>
      </c>
      <c r="AC66" s="74" t="s">
        <v>10</v>
      </c>
      <c r="AD66" s="74" t="s">
        <v>12</v>
      </c>
      <c r="AE66" s="74" t="s">
        <v>12</v>
      </c>
      <c r="AF66" s="33"/>
      <c r="AG66" s="33"/>
      <c r="AH66" s="33">
        <v>3</v>
      </c>
      <c r="AI66" s="33">
        <v>5</v>
      </c>
      <c r="AJ66" s="33">
        <v>10</v>
      </c>
      <c r="AK66" s="48">
        <v>2</v>
      </c>
      <c r="AL66" s="49">
        <v>0</v>
      </c>
      <c r="AM66" s="49">
        <v>0</v>
      </c>
    </row>
    <row r="67" spans="1:39" x14ac:dyDescent="0.25">
      <c r="A67" s="35" t="s">
        <v>229</v>
      </c>
      <c r="B67" s="33"/>
      <c r="C67" s="74" t="s">
        <v>10</v>
      </c>
      <c r="D67" s="74" t="s">
        <v>12</v>
      </c>
      <c r="E67" s="74" t="s">
        <v>12</v>
      </c>
      <c r="F67" s="47"/>
      <c r="G67" s="74" t="s">
        <v>11</v>
      </c>
      <c r="H67" s="74" t="s">
        <v>12</v>
      </c>
      <c r="I67" s="74" t="s">
        <v>11</v>
      </c>
      <c r="J67" s="74" t="s">
        <v>11</v>
      </c>
      <c r="K67" s="74" t="s">
        <v>11</v>
      </c>
      <c r="L67" s="33"/>
      <c r="M67" s="47"/>
      <c r="N67" s="74" t="s">
        <v>10</v>
      </c>
      <c r="O67" s="74" t="s">
        <v>10</v>
      </c>
      <c r="P67" s="74" t="s">
        <v>12</v>
      </c>
      <c r="Q67" s="74" t="s">
        <v>12</v>
      </c>
      <c r="R67" s="33"/>
      <c r="S67" s="74" t="s">
        <v>12</v>
      </c>
      <c r="T67" s="47"/>
      <c r="U67" s="74" t="s">
        <v>10</v>
      </c>
      <c r="V67" s="74" t="s">
        <v>10</v>
      </c>
      <c r="W67" s="74" t="s">
        <v>12</v>
      </c>
      <c r="X67" s="74" t="s">
        <v>12</v>
      </c>
      <c r="Y67" s="33"/>
      <c r="Z67" s="33"/>
      <c r="AA67" s="47"/>
      <c r="AB67" s="87"/>
      <c r="AC67" s="87"/>
      <c r="AD67" s="87"/>
      <c r="AE67" s="84"/>
      <c r="AF67" s="84"/>
      <c r="AG67" s="33"/>
      <c r="AH67" s="33">
        <v>4</v>
      </c>
      <c r="AI67" s="33">
        <v>5</v>
      </c>
      <c r="AJ67" s="33">
        <v>8</v>
      </c>
      <c r="AK67" s="48">
        <v>2</v>
      </c>
      <c r="AL67" s="49">
        <v>0</v>
      </c>
      <c r="AM67" s="49">
        <v>0</v>
      </c>
    </row>
    <row r="68" spans="1:39" x14ac:dyDescent="0.25">
      <c r="A68" s="35" t="s">
        <v>235</v>
      </c>
      <c r="B68" s="74" t="s">
        <v>11</v>
      </c>
      <c r="C68" s="74" t="s">
        <v>11</v>
      </c>
      <c r="D68" s="74" t="s">
        <v>12</v>
      </c>
      <c r="E68" s="33"/>
      <c r="F68" s="47"/>
      <c r="G68" s="74" t="s">
        <v>10</v>
      </c>
      <c r="H68" s="74" t="s">
        <v>10</v>
      </c>
      <c r="I68" s="74" t="s">
        <v>12</v>
      </c>
      <c r="J68" s="74" t="s">
        <v>12</v>
      </c>
      <c r="K68" s="33"/>
      <c r="L68" s="33"/>
      <c r="M68" s="47"/>
      <c r="N68" s="74" t="s">
        <v>10</v>
      </c>
      <c r="O68" s="74" t="s">
        <v>10</v>
      </c>
      <c r="P68" s="74" t="s">
        <v>12</v>
      </c>
      <c r="Q68" s="74" t="s">
        <v>12</v>
      </c>
      <c r="R68" s="33"/>
      <c r="S68" s="90" t="s">
        <v>14</v>
      </c>
      <c r="T68" s="44" t="s">
        <v>14</v>
      </c>
      <c r="U68" s="74" t="s">
        <v>12</v>
      </c>
      <c r="V68" s="74" t="s">
        <v>12</v>
      </c>
      <c r="W68" s="74" t="s">
        <v>10</v>
      </c>
      <c r="X68" s="87"/>
      <c r="Y68" s="86"/>
      <c r="Z68" s="84"/>
      <c r="AA68" s="84"/>
      <c r="AB68" s="84"/>
      <c r="AC68" s="84"/>
      <c r="AD68" s="84"/>
      <c r="AE68" s="84"/>
      <c r="AF68" s="87"/>
      <c r="AG68" s="33"/>
      <c r="AH68" s="33">
        <v>2</v>
      </c>
      <c r="AI68" s="33">
        <v>5</v>
      </c>
      <c r="AJ68" s="33">
        <v>7</v>
      </c>
      <c r="AK68" s="48">
        <v>0</v>
      </c>
      <c r="AL68" s="49">
        <v>0</v>
      </c>
      <c r="AM68" s="49">
        <v>0</v>
      </c>
    </row>
    <row r="69" spans="1:39" x14ac:dyDescent="0.25">
      <c r="A69" s="35" t="s">
        <v>228</v>
      </c>
      <c r="B69" s="74" t="s">
        <v>12</v>
      </c>
      <c r="C69" s="74" t="s">
        <v>12</v>
      </c>
      <c r="D69" s="33"/>
      <c r="E69" s="74" t="s">
        <v>12</v>
      </c>
      <c r="F69" s="47"/>
      <c r="G69" s="74" t="s">
        <v>10</v>
      </c>
      <c r="H69" s="74" t="s">
        <v>12</v>
      </c>
      <c r="I69" s="74" t="s">
        <v>12</v>
      </c>
      <c r="J69" s="74" t="s">
        <v>12</v>
      </c>
      <c r="K69" s="33"/>
      <c r="L69" s="33"/>
      <c r="M69" s="47"/>
      <c r="N69" s="74" t="s">
        <v>12</v>
      </c>
      <c r="O69" s="74" t="s">
        <v>12</v>
      </c>
      <c r="P69" s="74" t="s">
        <v>10</v>
      </c>
      <c r="Q69" s="33"/>
      <c r="R69" s="84"/>
      <c r="S69" s="84"/>
      <c r="T69" s="84"/>
      <c r="U69" s="84"/>
      <c r="V69" s="84"/>
      <c r="W69" s="84"/>
      <c r="X69" s="87"/>
      <c r="Y69" s="85" t="s">
        <v>10</v>
      </c>
      <c r="Z69" s="74" t="s">
        <v>12</v>
      </c>
      <c r="AA69" s="73" t="s">
        <v>12</v>
      </c>
      <c r="AB69" s="84"/>
      <c r="AC69" s="84"/>
      <c r="AD69" s="84"/>
      <c r="AE69" s="84"/>
      <c r="AF69" s="87"/>
      <c r="AG69" s="33"/>
      <c r="AH69" s="33">
        <v>0</v>
      </c>
      <c r="AI69" s="33">
        <v>3</v>
      </c>
      <c r="AJ69" s="33">
        <v>10</v>
      </c>
      <c r="AK69" s="48">
        <v>2</v>
      </c>
      <c r="AL69" s="49">
        <v>1</v>
      </c>
      <c r="AM69" s="49">
        <v>0</v>
      </c>
    </row>
    <row r="70" spans="1:39" x14ac:dyDescent="0.25">
      <c r="A70" s="35" t="s">
        <v>234</v>
      </c>
      <c r="B70" s="74" t="s">
        <v>12</v>
      </c>
      <c r="C70" s="74" t="s">
        <v>12</v>
      </c>
      <c r="D70" s="74" t="s">
        <v>12</v>
      </c>
      <c r="E70" s="33"/>
      <c r="F70" s="44" t="s">
        <v>14</v>
      </c>
      <c r="G70" s="87"/>
      <c r="H70" s="87"/>
      <c r="I70" s="87"/>
      <c r="J70" s="84"/>
      <c r="K70" s="84"/>
      <c r="L70" s="84"/>
      <c r="M70" s="84"/>
      <c r="N70" s="84"/>
      <c r="O70" s="84"/>
      <c r="P70" s="84"/>
      <c r="Q70" s="84"/>
      <c r="R70" s="87"/>
      <c r="S70" s="87"/>
      <c r="T70" s="87"/>
      <c r="U70" s="84"/>
      <c r="V70" s="84"/>
      <c r="W70" s="33"/>
      <c r="X70" s="33"/>
      <c r="Y70" s="74" t="s">
        <v>10</v>
      </c>
      <c r="Z70" s="74" t="s">
        <v>12</v>
      </c>
      <c r="AA70" s="73" t="s">
        <v>12</v>
      </c>
      <c r="AB70" s="33"/>
      <c r="AC70" s="33"/>
      <c r="AD70" s="33"/>
      <c r="AE70" s="74" t="s">
        <v>10</v>
      </c>
      <c r="AF70" s="74" t="s">
        <v>12</v>
      </c>
      <c r="AG70" s="33"/>
      <c r="AH70" s="33">
        <v>0</v>
      </c>
      <c r="AI70" s="33">
        <v>2</v>
      </c>
      <c r="AJ70" s="33">
        <v>6</v>
      </c>
      <c r="AK70" s="48">
        <v>1</v>
      </c>
      <c r="AL70" s="49">
        <v>1</v>
      </c>
      <c r="AM70" s="49">
        <v>0</v>
      </c>
    </row>
    <row r="71" spans="1:39" x14ac:dyDescent="0.25">
      <c r="A71" s="35" t="s">
        <v>230</v>
      </c>
      <c r="B71" s="74" t="s">
        <v>10</v>
      </c>
      <c r="C71" s="33"/>
      <c r="D71" s="33"/>
      <c r="E71" s="33"/>
      <c r="F71" s="47"/>
      <c r="G71" s="33"/>
      <c r="H71" s="33"/>
      <c r="I71" s="33"/>
      <c r="J71" s="33"/>
      <c r="K71" s="74" t="s">
        <v>10</v>
      </c>
      <c r="L71" s="74" t="s">
        <v>12</v>
      </c>
      <c r="M71" s="73" t="s">
        <v>12</v>
      </c>
      <c r="N71" s="33"/>
      <c r="O71" s="33"/>
      <c r="P71" s="33"/>
      <c r="Q71" s="84"/>
      <c r="R71" s="87"/>
      <c r="S71" s="87"/>
      <c r="T71" s="87"/>
      <c r="U71" s="84"/>
      <c r="V71" s="84"/>
      <c r="W71" s="84"/>
      <c r="X71" s="87"/>
      <c r="Y71" s="85" t="s">
        <v>12</v>
      </c>
      <c r="Z71" s="74" t="s">
        <v>12</v>
      </c>
      <c r="AA71" s="47"/>
      <c r="AB71" s="74" t="s">
        <v>12</v>
      </c>
      <c r="AC71" s="74" t="s">
        <v>11</v>
      </c>
      <c r="AD71" s="74" t="s">
        <v>12</v>
      </c>
      <c r="AE71" s="74" t="s">
        <v>11</v>
      </c>
      <c r="AF71" s="74" t="s">
        <v>11</v>
      </c>
      <c r="AG71" s="33"/>
      <c r="AH71" s="33">
        <v>3</v>
      </c>
      <c r="AI71" s="33">
        <v>2</v>
      </c>
      <c r="AJ71" s="33">
        <v>6</v>
      </c>
      <c r="AK71" s="48">
        <v>2</v>
      </c>
      <c r="AL71" s="49">
        <v>1</v>
      </c>
      <c r="AM71" s="49">
        <v>0</v>
      </c>
    </row>
    <row r="72" spans="1:39" ht="15.75" x14ac:dyDescent="0.25">
      <c r="A72" s="35" t="s">
        <v>227</v>
      </c>
      <c r="B72" s="84"/>
      <c r="C72" s="84"/>
      <c r="D72" s="87"/>
      <c r="E72" s="87"/>
      <c r="F72" s="87"/>
      <c r="G72" s="84"/>
      <c r="H72" s="84"/>
      <c r="I72" s="84"/>
      <c r="J72" s="33"/>
      <c r="K72" s="74" t="s">
        <v>10</v>
      </c>
      <c r="L72" s="74" t="s">
        <v>12</v>
      </c>
      <c r="M72" s="73" t="s">
        <v>12</v>
      </c>
      <c r="N72" s="33"/>
      <c r="O72" s="33"/>
      <c r="P72" s="33"/>
      <c r="Q72" s="74" t="s">
        <v>10</v>
      </c>
      <c r="R72" s="74" t="s">
        <v>12</v>
      </c>
      <c r="S72" s="74" t="s">
        <v>12</v>
      </c>
      <c r="T72" s="47"/>
      <c r="U72" s="74" t="s">
        <v>11</v>
      </c>
      <c r="V72" s="74" t="s">
        <v>11</v>
      </c>
      <c r="W72" s="74" t="s">
        <v>11</v>
      </c>
      <c r="X72" s="74" t="s">
        <v>12</v>
      </c>
      <c r="Y72" s="74" t="s">
        <v>11</v>
      </c>
      <c r="Z72" s="33"/>
      <c r="AA72" s="47"/>
      <c r="AB72" s="46" t="s">
        <v>14</v>
      </c>
      <c r="AC72" s="46" t="s">
        <v>14</v>
      </c>
      <c r="AD72" s="46" t="s">
        <v>14</v>
      </c>
      <c r="AE72" s="46" t="s">
        <v>14</v>
      </c>
      <c r="AF72" s="89" t="s">
        <v>10</v>
      </c>
      <c r="AG72" s="33"/>
      <c r="AH72" s="33">
        <v>4</v>
      </c>
      <c r="AI72" s="33">
        <v>3</v>
      </c>
      <c r="AJ72" s="33">
        <v>5</v>
      </c>
      <c r="AK72" s="48">
        <v>2</v>
      </c>
      <c r="AL72" s="49">
        <v>1</v>
      </c>
      <c r="AM72" s="49">
        <v>0</v>
      </c>
    </row>
    <row r="73" spans="1:39" ht="15.75" x14ac:dyDescent="0.25">
      <c r="A73" s="35" t="s">
        <v>213</v>
      </c>
      <c r="B73" s="33"/>
      <c r="C73" s="33"/>
      <c r="D73" s="74" t="s">
        <v>10</v>
      </c>
      <c r="E73" s="74" t="s">
        <v>12</v>
      </c>
      <c r="F73" s="73" t="s">
        <v>12</v>
      </c>
      <c r="G73" s="74" t="s">
        <v>12</v>
      </c>
      <c r="H73" s="33"/>
      <c r="I73" s="33"/>
      <c r="J73" s="74" t="s">
        <v>10</v>
      </c>
      <c r="K73" s="74" t="s">
        <v>12</v>
      </c>
      <c r="L73" s="74" t="s">
        <v>12</v>
      </c>
      <c r="M73" s="47"/>
      <c r="N73" s="74" t="s">
        <v>11</v>
      </c>
      <c r="O73" s="74" t="s">
        <v>11</v>
      </c>
      <c r="P73" s="74" t="s">
        <v>11</v>
      </c>
      <c r="Q73" s="74" t="s">
        <v>11</v>
      </c>
      <c r="R73" s="74" t="s">
        <v>12</v>
      </c>
      <c r="S73" s="33"/>
      <c r="T73" s="73" t="s">
        <v>12</v>
      </c>
      <c r="U73" s="46" t="s">
        <v>14</v>
      </c>
      <c r="V73" s="46" t="s">
        <v>14</v>
      </c>
      <c r="W73" s="46" t="s">
        <v>14</v>
      </c>
      <c r="X73" s="46" t="s">
        <v>14</v>
      </c>
      <c r="Y73" s="46" t="s">
        <v>14</v>
      </c>
      <c r="Z73" s="46" t="s">
        <v>14</v>
      </c>
      <c r="AA73" s="45" t="s">
        <v>14</v>
      </c>
      <c r="AB73" s="74" t="s">
        <v>12</v>
      </c>
      <c r="AC73" s="74" t="s">
        <v>12</v>
      </c>
      <c r="AD73" s="74" t="s">
        <v>10</v>
      </c>
      <c r="AE73" s="84"/>
      <c r="AF73" s="84"/>
      <c r="AG73" s="33"/>
      <c r="AH73" s="33">
        <v>4</v>
      </c>
      <c r="AI73" s="33">
        <v>3</v>
      </c>
      <c r="AJ73" s="33">
        <v>9</v>
      </c>
      <c r="AK73" s="48">
        <v>2</v>
      </c>
      <c r="AL73" s="49">
        <v>2</v>
      </c>
      <c r="AM73" s="49">
        <v>0</v>
      </c>
    </row>
    <row r="74" spans="1:39" x14ac:dyDescent="0.25">
      <c r="A74" s="53" t="s">
        <v>224</v>
      </c>
      <c r="B74" s="54">
        <v>6</v>
      </c>
      <c r="C74" s="54">
        <v>5</v>
      </c>
      <c r="D74" s="54">
        <v>5</v>
      </c>
      <c r="E74" s="54">
        <v>4</v>
      </c>
      <c r="F74" s="39">
        <v>2</v>
      </c>
      <c r="G74" s="54">
        <v>6</v>
      </c>
      <c r="H74" s="54">
        <v>5</v>
      </c>
      <c r="I74" s="54">
        <v>5</v>
      </c>
      <c r="J74" s="54">
        <v>6</v>
      </c>
      <c r="K74" s="54">
        <v>6</v>
      </c>
      <c r="L74" s="54">
        <v>4</v>
      </c>
      <c r="M74" s="39">
        <v>2</v>
      </c>
      <c r="N74" s="54">
        <v>6</v>
      </c>
      <c r="O74" s="54">
        <v>6</v>
      </c>
      <c r="P74" s="54">
        <v>5</v>
      </c>
      <c r="Q74" s="54">
        <v>6</v>
      </c>
      <c r="R74" s="54">
        <v>4</v>
      </c>
      <c r="S74" s="54">
        <v>4</v>
      </c>
      <c r="T74" s="39">
        <v>3</v>
      </c>
      <c r="U74" s="54">
        <v>6</v>
      </c>
      <c r="V74" s="54">
        <v>6</v>
      </c>
      <c r="W74" s="54">
        <v>6</v>
      </c>
      <c r="X74" s="54">
        <v>4</v>
      </c>
      <c r="Y74" s="54">
        <v>6</v>
      </c>
      <c r="Z74" s="54">
        <v>4</v>
      </c>
      <c r="AA74" s="39">
        <v>2</v>
      </c>
      <c r="AB74" s="54">
        <v>5</v>
      </c>
      <c r="AC74" s="54">
        <v>5</v>
      </c>
      <c r="AD74" s="54">
        <v>5</v>
      </c>
      <c r="AE74" s="54">
        <v>6</v>
      </c>
      <c r="AF74" s="54">
        <v>5</v>
      </c>
    </row>
    <row r="75" spans="1:39" x14ac:dyDescent="0.25">
      <c r="B75" s="138" t="s">
        <v>223</v>
      </c>
      <c r="C75" s="138"/>
      <c r="D75" s="138"/>
      <c r="E75" s="138"/>
      <c r="F75" s="138"/>
      <c r="G75" s="138"/>
      <c r="H75" s="138"/>
      <c r="I75" s="138"/>
      <c r="J75" s="138"/>
      <c r="K75" s="138"/>
      <c r="L75" s="138"/>
      <c r="M75" s="138"/>
      <c r="N75" s="138"/>
      <c r="O75" s="138"/>
      <c r="P75" s="138"/>
      <c r="Q75" s="138"/>
      <c r="R75" s="138"/>
      <c r="S75" s="138"/>
      <c r="T75" s="138"/>
      <c r="U75" s="138"/>
      <c r="V75" s="138"/>
      <c r="W75" s="138"/>
      <c r="X75" s="138"/>
      <c r="Y75" s="138"/>
      <c r="Z75" s="138"/>
      <c r="AA75" s="138"/>
      <c r="AB75" s="138"/>
      <c r="AC75" s="138"/>
      <c r="AD75" s="138"/>
      <c r="AE75" s="138"/>
      <c r="AF75" s="138"/>
    </row>
    <row r="76" spans="1:39" ht="17.25" x14ac:dyDescent="0.3">
      <c r="A76" s="26" t="s">
        <v>190</v>
      </c>
    </row>
    <row r="77" spans="1:39" ht="30" x14ac:dyDescent="0.25">
      <c r="A77" s="52" t="s">
        <v>13</v>
      </c>
      <c r="B77" s="51" t="s">
        <v>76</v>
      </c>
      <c r="C77" s="51" t="s">
        <v>77</v>
      </c>
      <c r="D77" s="51" t="s">
        <v>78</v>
      </c>
      <c r="E77" s="51" t="s">
        <v>79</v>
      </c>
      <c r="F77" s="50" t="s">
        <v>80</v>
      </c>
      <c r="G77" s="51" t="s">
        <v>81</v>
      </c>
      <c r="H77" s="51" t="s">
        <v>82</v>
      </c>
      <c r="I77" s="51" t="s">
        <v>83</v>
      </c>
      <c r="J77" s="51" t="s">
        <v>84</v>
      </c>
      <c r="K77" s="51" t="s">
        <v>85</v>
      </c>
      <c r="L77" s="51" t="s">
        <v>86</v>
      </c>
      <c r="M77" s="50" t="s">
        <v>87</v>
      </c>
      <c r="N77" s="51" t="s">
        <v>88</v>
      </c>
      <c r="O77" s="51" t="s">
        <v>89</v>
      </c>
      <c r="P77" s="51" t="s">
        <v>90</v>
      </c>
      <c r="Q77" s="51" t="s">
        <v>91</v>
      </c>
      <c r="R77" s="51" t="s">
        <v>92</v>
      </c>
      <c r="S77" s="51" t="s">
        <v>93</v>
      </c>
      <c r="T77" s="50" t="s">
        <v>94</v>
      </c>
      <c r="U77" s="51" t="s">
        <v>95</v>
      </c>
      <c r="V77" s="51" t="s">
        <v>96</v>
      </c>
      <c r="W77" s="51" t="s">
        <v>97</v>
      </c>
      <c r="X77" s="51" t="s">
        <v>98</v>
      </c>
      <c r="Y77" s="51" t="s">
        <v>99</v>
      </c>
      <c r="Z77" s="51" t="s">
        <v>100</v>
      </c>
      <c r="AA77" s="50" t="s">
        <v>101</v>
      </c>
      <c r="AB77" s="51" t="s">
        <v>102</v>
      </c>
      <c r="AC77" s="51" t="s">
        <v>103</v>
      </c>
      <c r="AD77" s="51" t="s">
        <v>104</v>
      </c>
      <c r="AE77" s="51" t="s">
        <v>105</v>
      </c>
      <c r="AF77" s="51" t="s">
        <v>106</v>
      </c>
    </row>
    <row r="78" spans="1:39" x14ac:dyDescent="0.25">
      <c r="A78" s="35" t="s">
        <v>231</v>
      </c>
      <c r="B78" s="33"/>
      <c r="C78" s="74" t="s">
        <v>211</v>
      </c>
      <c r="D78" s="33"/>
      <c r="E78" s="33"/>
      <c r="F78" s="47"/>
      <c r="G78" s="33"/>
      <c r="H78" s="74" t="s">
        <v>211</v>
      </c>
      <c r="I78" s="33"/>
      <c r="J78" s="33"/>
      <c r="K78" s="33"/>
      <c r="L78" s="33"/>
      <c r="M78" s="47"/>
      <c r="N78" s="33"/>
      <c r="O78" s="33"/>
      <c r="P78" s="33"/>
      <c r="Q78" s="33"/>
      <c r="R78" s="33"/>
      <c r="S78" s="33"/>
      <c r="T78" s="47"/>
      <c r="U78" s="33"/>
      <c r="V78" s="33"/>
      <c r="W78" s="74" t="s">
        <v>211</v>
      </c>
      <c r="X78" s="33"/>
      <c r="Y78" s="33"/>
      <c r="Z78" s="33"/>
      <c r="AA78" s="47"/>
      <c r="AB78" s="33"/>
      <c r="AC78" s="33"/>
      <c r="AD78" s="33"/>
      <c r="AE78" s="74" t="s">
        <v>211</v>
      </c>
      <c r="AF78" s="33"/>
    </row>
    <row r="79" spans="1:39" x14ac:dyDescent="0.25">
      <c r="A79" s="35" t="s">
        <v>233</v>
      </c>
      <c r="B79" s="33"/>
      <c r="C79" s="33"/>
      <c r="D79" s="33"/>
      <c r="E79" s="33"/>
      <c r="F79" s="47"/>
      <c r="G79" s="33"/>
      <c r="H79" s="33"/>
      <c r="I79" s="33"/>
      <c r="J79" s="33"/>
      <c r="K79" s="33"/>
      <c r="L79" s="33"/>
      <c r="M79" s="47"/>
      <c r="N79" s="33"/>
      <c r="O79" s="33"/>
      <c r="P79" s="74" t="s">
        <v>211</v>
      </c>
      <c r="Q79" s="33"/>
      <c r="R79" s="33"/>
      <c r="S79" s="33"/>
      <c r="T79" s="47"/>
      <c r="U79" s="33"/>
      <c r="V79" s="33"/>
      <c r="W79" s="33"/>
      <c r="X79" s="74" t="s">
        <v>211</v>
      </c>
      <c r="Y79" s="33"/>
      <c r="Z79" s="33"/>
      <c r="AA79" s="47"/>
      <c r="AB79" s="74" t="s">
        <v>212</v>
      </c>
      <c r="AC79" s="33"/>
      <c r="AD79" s="33"/>
      <c r="AE79" s="33"/>
      <c r="AF79" s="33"/>
    </row>
    <row r="80" spans="1:39" x14ac:dyDescent="0.25">
      <c r="A80" s="35" t="s">
        <v>226</v>
      </c>
      <c r="B80" s="33"/>
      <c r="C80" s="33"/>
      <c r="D80" s="33"/>
      <c r="E80" s="33"/>
      <c r="F80" s="47"/>
      <c r="G80" s="33"/>
      <c r="H80" s="33"/>
      <c r="I80" s="74" t="s">
        <v>211</v>
      </c>
      <c r="J80" s="33"/>
      <c r="K80" s="33"/>
      <c r="L80" s="33"/>
      <c r="M80" s="47"/>
      <c r="N80" s="33"/>
      <c r="O80" s="33"/>
      <c r="P80" s="33"/>
      <c r="Q80" s="74" t="s">
        <v>211</v>
      </c>
      <c r="R80" s="33"/>
      <c r="S80" s="33"/>
      <c r="T80" s="47"/>
      <c r="U80" s="74" t="s">
        <v>212</v>
      </c>
      <c r="V80" s="33"/>
      <c r="W80" s="33"/>
      <c r="X80" s="33"/>
      <c r="Y80" s="33"/>
      <c r="Z80" s="33"/>
      <c r="AA80" s="47"/>
      <c r="AB80" s="33"/>
      <c r="AC80" s="33"/>
      <c r="AD80" s="33"/>
      <c r="AE80" s="33"/>
      <c r="AF80" s="33"/>
    </row>
    <row r="81" spans="1:39" x14ac:dyDescent="0.25">
      <c r="A81" s="35" t="s">
        <v>232</v>
      </c>
      <c r="B81" s="74" t="s">
        <v>211</v>
      </c>
      <c r="C81" s="33"/>
      <c r="D81" s="33"/>
      <c r="E81" s="33"/>
      <c r="F81" s="47"/>
      <c r="G81" s="33"/>
      <c r="H81" s="33"/>
      <c r="I81" s="33"/>
      <c r="J81" s="74" t="s">
        <v>211</v>
      </c>
      <c r="K81" s="33"/>
      <c r="L81" s="33"/>
      <c r="M81" s="47"/>
      <c r="N81" s="74" t="s">
        <v>212</v>
      </c>
      <c r="O81" s="33"/>
      <c r="P81" s="33"/>
      <c r="Q81" s="33"/>
      <c r="R81" s="33"/>
      <c r="S81" s="33"/>
      <c r="T81" s="47"/>
      <c r="U81" s="33"/>
      <c r="V81" s="33"/>
      <c r="W81" s="33"/>
      <c r="X81" s="33"/>
      <c r="Y81" s="33"/>
      <c r="Z81" s="33"/>
      <c r="AA81" s="47"/>
      <c r="AB81" s="33"/>
      <c r="AC81" s="33"/>
      <c r="AD81" s="33"/>
      <c r="AE81" s="33"/>
      <c r="AF81" s="33"/>
    </row>
    <row r="82" spans="1:39" x14ac:dyDescent="0.25">
      <c r="A82" s="35" t="s">
        <v>229</v>
      </c>
      <c r="B82" s="33"/>
      <c r="C82" s="74" t="s">
        <v>211</v>
      </c>
      <c r="D82" s="33"/>
      <c r="E82" s="33"/>
      <c r="F82" s="47"/>
      <c r="G82" s="74" t="s">
        <v>212</v>
      </c>
      <c r="H82" s="33"/>
      <c r="I82" s="33"/>
      <c r="J82" s="33"/>
      <c r="K82" s="33"/>
      <c r="L82" s="33"/>
      <c r="M82" s="47"/>
      <c r="N82" s="33"/>
      <c r="O82" s="33"/>
      <c r="P82" s="33"/>
      <c r="Q82" s="33"/>
      <c r="R82" s="33"/>
      <c r="S82" s="33"/>
      <c r="T82" s="47"/>
      <c r="U82" s="33"/>
      <c r="V82" s="33"/>
      <c r="W82" s="33"/>
      <c r="X82" s="33"/>
      <c r="Y82" s="33"/>
      <c r="Z82" s="33"/>
      <c r="AA82" s="47"/>
      <c r="AB82" s="33"/>
      <c r="AC82" s="33"/>
      <c r="AD82" s="74" t="s">
        <v>211</v>
      </c>
      <c r="AE82" s="33"/>
      <c r="AF82" s="33"/>
    </row>
    <row r="83" spans="1:39" x14ac:dyDescent="0.25">
      <c r="A83" s="35" t="s">
        <v>235</v>
      </c>
      <c r="B83" s="33"/>
      <c r="C83" s="33"/>
      <c r="D83" s="33"/>
      <c r="E83" s="33"/>
      <c r="F83" s="47"/>
      <c r="G83" s="33"/>
      <c r="H83" s="33"/>
      <c r="I83" s="33"/>
      <c r="J83" s="33"/>
      <c r="K83" s="33"/>
      <c r="L83" s="33"/>
      <c r="M83" s="47"/>
      <c r="N83" s="33"/>
      <c r="O83" s="33"/>
      <c r="P83" s="33"/>
      <c r="Q83" s="33"/>
      <c r="R83" s="33"/>
      <c r="S83" s="33"/>
      <c r="T83" s="47"/>
      <c r="U83" s="33"/>
      <c r="V83" s="33"/>
      <c r="W83" s="74" t="s">
        <v>211</v>
      </c>
      <c r="X83" s="33"/>
      <c r="Y83" s="33"/>
      <c r="Z83" s="33"/>
      <c r="AA83" s="47"/>
      <c r="AB83" s="33"/>
      <c r="AC83" s="33"/>
      <c r="AD83" s="33"/>
      <c r="AE83" s="33"/>
      <c r="AF83" s="74" t="s">
        <v>211</v>
      </c>
    </row>
    <row r="84" spans="1:39" x14ac:dyDescent="0.25">
      <c r="A84" s="35" t="s">
        <v>228</v>
      </c>
      <c r="B84" s="33"/>
      <c r="C84" s="33"/>
      <c r="D84" s="33"/>
      <c r="E84" s="33"/>
      <c r="F84" s="47"/>
      <c r="G84" s="33"/>
      <c r="H84" s="33"/>
      <c r="I84" s="33"/>
      <c r="J84" s="33"/>
      <c r="K84" s="33"/>
      <c r="L84" s="33"/>
      <c r="M84" s="47"/>
      <c r="N84" s="33"/>
      <c r="O84" s="33"/>
      <c r="P84" s="74" t="s">
        <v>211</v>
      </c>
      <c r="Q84" s="33"/>
      <c r="R84" s="33"/>
      <c r="S84" s="33"/>
      <c r="T84" s="47"/>
      <c r="U84" s="33"/>
      <c r="V84" s="33"/>
      <c r="W84" s="33"/>
      <c r="X84" s="33"/>
      <c r="Y84" s="74" t="s">
        <v>211</v>
      </c>
      <c r="Z84" s="33"/>
      <c r="AA84" s="47"/>
      <c r="AB84" s="33"/>
      <c r="AC84" s="33"/>
      <c r="AD84" s="33"/>
      <c r="AE84" s="33"/>
      <c r="AF84" s="74" t="s">
        <v>211</v>
      </c>
    </row>
    <row r="85" spans="1:39" x14ac:dyDescent="0.25">
      <c r="A85" s="35" t="s">
        <v>234</v>
      </c>
      <c r="B85" s="33"/>
      <c r="C85" s="33"/>
      <c r="D85" s="33"/>
      <c r="E85" s="33"/>
      <c r="F85" s="47"/>
      <c r="G85" s="33"/>
      <c r="H85" s="33"/>
      <c r="I85" s="74" t="s">
        <v>211</v>
      </c>
      <c r="J85" s="33"/>
      <c r="K85" s="33"/>
      <c r="L85" s="33"/>
      <c r="M85" s="47"/>
      <c r="N85" s="33"/>
      <c r="O85" s="33"/>
      <c r="P85" s="33"/>
      <c r="Q85" s="33"/>
      <c r="R85" s="74" t="s">
        <v>211</v>
      </c>
      <c r="S85" s="33"/>
      <c r="T85" s="47"/>
      <c r="U85" s="33"/>
      <c r="V85" s="33"/>
      <c r="W85" s="33"/>
      <c r="X85" s="33"/>
      <c r="Y85" s="74" t="s">
        <v>211</v>
      </c>
      <c r="Z85" s="33"/>
      <c r="AA85" s="47"/>
      <c r="AB85" s="33"/>
      <c r="AC85" s="33"/>
      <c r="AD85" s="33"/>
      <c r="AE85" s="74" t="s">
        <v>211</v>
      </c>
      <c r="AF85" s="33"/>
    </row>
    <row r="86" spans="1:39" x14ac:dyDescent="0.25">
      <c r="A86" s="35" t="s">
        <v>230</v>
      </c>
      <c r="B86" s="74" t="s">
        <v>211</v>
      </c>
      <c r="C86" s="33"/>
      <c r="D86" s="33"/>
      <c r="E86" s="33"/>
      <c r="F86" s="47"/>
      <c r="G86" s="33"/>
      <c r="H86" s="33"/>
      <c r="I86" s="33"/>
      <c r="J86" s="33"/>
      <c r="K86" s="74" t="s">
        <v>211</v>
      </c>
      <c r="L86" s="33"/>
      <c r="M86" s="47"/>
      <c r="N86" s="33"/>
      <c r="O86" s="33"/>
      <c r="P86" s="33"/>
      <c r="Q86" s="33"/>
      <c r="R86" s="74" t="s">
        <v>211</v>
      </c>
      <c r="S86" s="33"/>
      <c r="T86" s="47"/>
      <c r="U86" s="33"/>
      <c r="V86" s="33"/>
      <c r="W86" s="33"/>
      <c r="X86" s="74" t="s">
        <v>211</v>
      </c>
      <c r="Y86" s="33"/>
      <c r="Z86" s="33"/>
      <c r="AA86" s="47"/>
      <c r="AB86" s="33"/>
      <c r="AC86" s="74" t="s">
        <v>211</v>
      </c>
      <c r="AD86" s="33"/>
      <c r="AE86" s="33"/>
      <c r="AF86" s="33"/>
    </row>
    <row r="87" spans="1:39" x14ac:dyDescent="0.25">
      <c r="A87" s="35" t="s">
        <v>227</v>
      </c>
      <c r="B87" s="33"/>
      <c r="C87" s="33"/>
      <c r="D87" s="74" t="s">
        <v>211</v>
      </c>
      <c r="E87" s="33"/>
      <c r="F87" s="47"/>
      <c r="G87" s="33"/>
      <c r="H87" s="33"/>
      <c r="I87" s="33"/>
      <c r="J87" s="33"/>
      <c r="K87" s="74" t="s">
        <v>211</v>
      </c>
      <c r="L87" s="33"/>
      <c r="M87" s="47"/>
      <c r="N87" s="33"/>
      <c r="O87" s="33"/>
      <c r="P87" s="33"/>
      <c r="Q87" s="74" t="s">
        <v>211</v>
      </c>
      <c r="R87" s="33"/>
      <c r="S87" s="33"/>
      <c r="T87" s="47"/>
      <c r="U87" s="33"/>
      <c r="V87" s="74" t="s">
        <v>211</v>
      </c>
      <c r="W87" s="33"/>
      <c r="X87" s="33"/>
      <c r="Y87" s="33"/>
      <c r="Z87" s="33"/>
      <c r="AA87" s="47"/>
      <c r="AB87" s="33"/>
      <c r="AC87" s="33"/>
      <c r="AD87" s="33"/>
      <c r="AE87" s="33"/>
      <c r="AF87" s="33"/>
    </row>
    <row r="88" spans="1:39" x14ac:dyDescent="0.25">
      <c r="A88" s="35" t="s">
        <v>213</v>
      </c>
      <c r="B88" s="33"/>
      <c r="C88" s="33"/>
      <c r="D88" s="74" t="s">
        <v>211</v>
      </c>
      <c r="E88" s="33"/>
      <c r="F88" s="47"/>
      <c r="G88" s="33"/>
      <c r="H88" s="33"/>
      <c r="I88" s="33"/>
      <c r="J88" s="74" t="s">
        <v>211</v>
      </c>
      <c r="K88" s="33"/>
      <c r="L88" s="33"/>
      <c r="M88" s="47"/>
      <c r="N88" s="33"/>
      <c r="O88" s="74" t="s">
        <v>211</v>
      </c>
      <c r="P88" s="33"/>
      <c r="Q88" s="33"/>
      <c r="R88" s="33"/>
      <c r="S88" s="33"/>
      <c r="T88" s="47"/>
      <c r="U88" s="33"/>
      <c r="V88" s="33"/>
      <c r="W88" s="33"/>
      <c r="X88" s="33"/>
      <c r="Y88" s="33"/>
      <c r="Z88" s="33"/>
      <c r="AA88" s="47"/>
      <c r="AB88" s="33"/>
      <c r="AC88" s="33"/>
      <c r="AD88" s="74" t="s">
        <v>211</v>
      </c>
      <c r="AE88" s="33"/>
      <c r="AF88" s="33"/>
    </row>
    <row r="91" spans="1:39" ht="18.75" x14ac:dyDescent="0.3">
      <c r="A91" s="22" t="s">
        <v>207</v>
      </c>
    </row>
    <row r="92" spans="1:39" ht="30" x14ac:dyDescent="0.25">
      <c r="A92" s="34" t="s">
        <v>13</v>
      </c>
      <c r="B92" s="38" t="s">
        <v>107</v>
      </c>
      <c r="C92" s="37" t="s">
        <v>108</v>
      </c>
      <c r="D92" s="38" t="s">
        <v>109</v>
      </c>
      <c r="E92" s="38" t="s">
        <v>110</v>
      </c>
      <c r="F92" s="38" t="s">
        <v>19</v>
      </c>
      <c r="G92" s="38" t="s">
        <v>111</v>
      </c>
      <c r="H92" s="38" t="s">
        <v>112</v>
      </c>
      <c r="I92" s="38" t="s">
        <v>113</v>
      </c>
      <c r="J92" s="37" t="s">
        <v>114</v>
      </c>
      <c r="K92" s="38" t="s">
        <v>115</v>
      </c>
      <c r="L92" s="38" t="s">
        <v>116</v>
      </c>
      <c r="M92" s="38" t="s">
        <v>26</v>
      </c>
      <c r="N92" s="38" t="s">
        <v>117</v>
      </c>
      <c r="O92" s="38" t="s">
        <v>118</v>
      </c>
      <c r="P92" s="37" t="s">
        <v>119</v>
      </c>
      <c r="Q92" s="37" t="s">
        <v>120</v>
      </c>
      <c r="R92" s="38" t="s">
        <v>121</v>
      </c>
      <c r="S92" s="38" t="s">
        <v>122</v>
      </c>
      <c r="T92" s="38" t="s">
        <v>33</v>
      </c>
      <c r="U92" s="38" t="s">
        <v>123</v>
      </c>
      <c r="V92" s="38" t="s">
        <v>124</v>
      </c>
      <c r="W92" s="38" t="s">
        <v>125</v>
      </c>
      <c r="X92" s="37" t="s">
        <v>126</v>
      </c>
      <c r="Y92" s="38" t="s">
        <v>127</v>
      </c>
      <c r="Z92" s="38" t="s">
        <v>128</v>
      </c>
      <c r="AA92" s="38" t="s">
        <v>40</v>
      </c>
      <c r="AB92" s="38" t="s">
        <v>129</v>
      </c>
      <c r="AC92" s="38" t="s">
        <v>130</v>
      </c>
      <c r="AD92" s="38" t="s">
        <v>131</v>
      </c>
      <c r="AE92" s="37" t="s">
        <v>132</v>
      </c>
      <c r="AF92" s="38" t="s">
        <v>133</v>
      </c>
      <c r="AG92" s="33"/>
      <c r="AH92" s="73" t="s">
        <v>11</v>
      </c>
      <c r="AI92" s="73" t="s">
        <v>10</v>
      </c>
      <c r="AJ92" s="73" t="s">
        <v>12</v>
      </c>
      <c r="AK92" s="43" t="s">
        <v>221</v>
      </c>
      <c r="AL92" s="44" t="s">
        <v>184</v>
      </c>
      <c r="AM92" s="72" t="s">
        <v>185</v>
      </c>
    </row>
    <row r="93" spans="1:39" x14ac:dyDescent="0.25">
      <c r="A93" s="35" t="s">
        <v>231</v>
      </c>
      <c r="B93" s="74" t="s">
        <v>12</v>
      </c>
      <c r="C93" s="44" t="s">
        <v>14</v>
      </c>
      <c r="D93" s="74" t="s">
        <v>11</v>
      </c>
      <c r="E93" s="74" t="s">
        <v>11</v>
      </c>
      <c r="F93" s="74" t="s">
        <v>11</v>
      </c>
      <c r="G93" s="74" t="s">
        <v>11</v>
      </c>
      <c r="H93" s="74" t="s">
        <v>11</v>
      </c>
      <c r="I93" s="33"/>
      <c r="J93" s="47"/>
      <c r="K93" s="74" t="s">
        <v>10</v>
      </c>
      <c r="L93" s="74" t="s">
        <v>10</v>
      </c>
      <c r="M93" s="74" t="s">
        <v>12</v>
      </c>
      <c r="N93" s="74" t="s">
        <v>12</v>
      </c>
      <c r="O93" s="33"/>
      <c r="P93" s="47"/>
      <c r="Q93" s="47"/>
      <c r="R93" s="74" t="s">
        <v>10</v>
      </c>
      <c r="S93" s="74" t="s">
        <v>10</v>
      </c>
      <c r="T93" s="74" t="s">
        <v>12</v>
      </c>
      <c r="U93" s="74" t="s">
        <v>12</v>
      </c>
      <c r="V93" s="84"/>
      <c r="W93" s="84"/>
      <c r="X93" s="84"/>
      <c r="Y93" s="87"/>
      <c r="Z93" s="87"/>
      <c r="AA93" s="87"/>
      <c r="AB93" s="84"/>
      <c r="AC93" s="84"/>
      <c r="AD93" s="84"/>
      <c r="AE93" s="84"/>
      <c r="AF93" s="84"/>
      <c r="AG93" s="33"/>
      <c r="AH93" s="33">
        <v>5</v>
      </c>
      <c r="AI93" s="33">
        <v>4</v>
      </c>
      <c r="AJ93" s="33">
        <v>5</v>
      </c>
      <c r="AK93" s="48">
        <v>1</v>
      </c>
      <c r="AL93" s="49">
        <v>0</v>
      </c>
      <c r="AM93" s="49">
        <v>0</v>
      </c>
    </row>
    <row r="94" spans="1:39" x14ac:dyDescent="0.25">
      <c r="A94" s="35" t="s">
        <v>233</v>
      </c>
      <c r="B94" s="33"/>
      <c r="C94" s="47"/>
      <c r="D94" s="74" t="s">
        <v>10</v>
      </c>
      <c r="E94" s="74" t="s">
        <v>10</v>
      </c>
      <c r="F94" s="74" t="s">
        <v>12</v>
      </c>
      <c r="G94" s="74" t="s">
        <v>12</v>
      </c>
      <c r="H94" s="33"/>
      <c r="I94" s="33"/>
      <c r="J94" s="73" t="s">
        <v>12</v>
      </c>
      <c r="K94" s="87"/>
      <c r="L94" s="87"/>
      <c r="M94" s="87"/>
      <c r="N94" s="87"/>
      <c r="O94" s="84"/>
      <c r="P94" s="84"/>
      <c r="Q94" s="84"/>
      <c r="R94" s="87"/>
      <c r="S94" s="87"/>
      <c r="T94" s="87"/>
      <c r="U94" s="84"/>
      <c r="V94" s="84"/>
      <c r="W94" s="84"/>
      <c r="X94" s="84"/>
      <c r="Y94" s="74" t="s">
        <v>12</v>
      </c>
      <c r="Z94" s="74" t="s">
        <v>12</v>
      </c>
      <c r="AA94" s="74" t="s">
        <v>10</v>
      </c>
      <c r="AB94" s="33"/>
      <c r="AC94" s="74" t="s">
        <v>10</v>
      </c>
      <c r="AD94" s="74" t="s">
        <v>12</v>
      </c>
      <c r="AE94" s="73" t="s">
        <v>12</v>
      </c>
      <c r="AF94" s="33"/>
      <c r="AG94" s="33"/>
      <c r="AH94" s="33">
        <v>0</v>
      </c>
      <c r="AI94" s="33">
        <v>4</v>
      </c>
      <c r="AJ94" s="33">
        <v>7</v>
      </c>
      <c r="AK94" s="48">
        <v>1</v>
      </c>
      <c r="AL94" s="49">
        <v>2</v>
      </c>
      <c r="AM94" s="49">
        <v>0</v>
      </c>
    </row>
    <row r="95" spans="1:39" x14ac:dyDescent="0.25">
      <c r="A95" s="35" t="s">
        <v>226</v>
      </c>
      <c r="B95" s="74" t="s">
        <v>12</v>
      </c>
      <c r="C95" s="73" t="s">
        <v>11</v>
      </c>
      <c r="D95" s="74" t="s">
        <v>10</v>
      </c>
      <c r="E95" s="74" t="s">
        <v>10</v>
      </c>
      <c r="F95" s="74" t="s">
        <v>12</v>
      </c>
      <c r="G95" s="74" t="s">
        <v>12</v>
      </c>
      <c r="H95" s="33"/>
      <c r="I95" s="33"/>
      <c r="J95" s="47"/>
      <c r="K95" s="74" t="s">
        <v>12</v>
      </c>
      <c r="L95" s="74" t="s">
        <v>12</v>
      </c>
      <c r="M95" s="74" t="s">
        <v>10</v>
      </c>
      <c r="N95" s="33"/>
      <c r="O95" s="90" t="s">
        <v>14</v>
      </c>
      <c r="P95" s="44" t="s">
        <v>14</v>
      </c>
      <c r="Q95" s="44" t="s">
        <v>14</v>
      </c>
      <c r="R95" s="74" t="s">
        <v>12</v>
      </c>
      <c r="S95" s="74" t="s">
        <v>12</v>
      </c>
      <c r="T95" s="90" t="s">
        <v>14</v>
      </c>
      <c r="U95" s="33"/>
      <c r="V95" s="74" t="s">
        <v>10</v>
      </c>
      <c r="W95" s="74" t="s">
        <v>12</v>
      </c>
      <c r="X95" s="73" t="s">
        <v>12</v>
      </c>
      <c r="Y95" s="33"/>
      <c r="Z95" s="33"/>
      <c r="AA95" s="33"/>
      <c r="AB95" s="33"/>
      <c r="AC95" s="74" t="s">
        <v>10</v>
      </c>
      <c r="AD95" s="74" t="s">
        <v>12</v>
      </c>
      <c r="AE95" s="73" t="s">
        <v>12</v>
      </c>
      <c r="AF95" s="33"/>
      <c r="AG95" s="33"/>
      <c r="AH95" s="33">
        <v>1</v>
      </c>
      <c r="AI95" s="33">
        <v>5</v>
      </c>
      <c r="AJ95" s="33">
        <v>11</v>
      </c>
      <c r="AK95" s="48">
        <v>3</v>
      </c>
      <c r="AL95" s="49">
        <v>3</v>
      </c>
      <c r="AM95" s="49">
        <v>0</v>
      </c>
    </row>
    <row r="96" spans="1:39" x14ac:dyDescent="0.25">
      <c r="A96" s="35" t="s">
        <v>232</v>
      </c>
      <c r="B96" s="90" t="s">
        <v>14</v>
      </c>
      <c r="C96" s="73" t="s">
        <v>12</v>
      </c>
      <c r="D96" s="74" t="s">
        <v>12</v>
      </c>
      <c r="E96" s="74" t="s">
        <v>12</v>
      </c>
      <c r="F96" s="74" t="s">
        <v>10</v>
      </c>
      <c r="G96" s="84"/>
      <c r="H96" s="84"/>
      <c r="I96" s="84"/>
      <c r="J96" s="84"/>
      <c r="K96" s="84"/>
      <c r="L96" s="84"/>
      <c r="M96" s="84"/>
      <c r="N96" s="84"/>
      <c r="O96" s="87"/>
      <c r="P96" s="87"/>
      <c r="Q96" s="87"/>
      <c r="R96" s="84"/>
      <c r="S96" s="84"/>
      <c r="T96" s="84"/>
      <c r="U96" s="84"/>
      <c r="V96" s="74" t="s">
        <v>10</v>
      </c>
      <c r="W96" s="74" t="s">
        <v>12</v>
      </c>
      <c r="X96" s="73" t="s">
        <v>12</v>
      </c>
      <c r="Y96" s="33"/>
      <c r="Z96" s="33"/>
      <c r="AA96" s="33"/>
      <c r="AB96" s="74" t="s">
        <v>10</v>
      </c>
      <c r="AC96" s="74" t="s">
        <v>12</v>
      </c>
      <c r="AD96" s="74" t="s">
        <v>12</v>
      </c>
      <c r="AE96" s="47"/>
      <c r="AF96" s="74" t="s">
        <v>12</v>
      </c>
      <c r="AG96" s="33"/>
      <c r="AH96" s="33">
        <v>0</v>
      </c>
      <c r="AI96" s="33">
        <v>3</v>
      </c>
      <c r="AJ96" s="33">
        <v>8</v>
      </c>
      <c r="AK96" s="48">
        <v>2</v>
      </c>
      <c r="AL96" s="49">
        <v>2</v>
      </c>
      <c r="AM96" s="49">
        <v>0</v>
      </c>
    </row>
    <row r="97" spans="1:39" ht="15.75" x14ac:dyDescent="0.25">
      <c r="A97" s="35" t="s">
        <v>229</v>
      </c>
      <c r="B97" s="84"/>
      <c r="C97" s="84"/>
      <c r="D97" s="84"/>
      <c r="E97" s="84"/>
      <c r="F97" s="84"/>
      <c r="G97" s="84"/>
      <c r="H97" s="87"/>
      <c r="I97" s="87"/>
      <c r="J97" s="87"/>
      <c r="K97" s="90" t="s">
        <v>14</v>
      </c>
      <c r="L97" s="90" t="s">
        <v>14</v>
      </c>
      <c r="M97" s="74" t="s">
        <v>10</v>
      </c>
      <c r="N97" s="90" t="s">
        <v>14</v>
      </c>
      <c r="O97" s="74" t="s">
        <v>10</v>
      </c>
      <c r="P97" s="73" t="s">
        <v>12</v>
      </c>
      <c r="Q97" s="73" t="s">
        <v>12</v>
      </c>
      <c r="R97" s="90" t="s">
        <v>14</v>
      </c>
      <c r="S97" s="90" t="s">
        <v>14</v>
      </c>
      <c r="T97" s="74" t="s">
        <v>10</v>
      </c>
      <c r="U97" s="74" t="s">
        <v>10</v>
      </c>
      <c r="V97" s="74" t="s">
        <v>12</v>
      </c>
      <c r="W97" s="74" t="s">
        <v>12</v>
      </c>
      <c r="X97" s="47"/>
      <c r="Y97" s="74" t="s">
        <v>11</v>
      </c>
      <c r="Z97" s="74" t="s">
        <v>11</v>
      </c>
      <c r="AA97" s="74" t="s">
        <v>11</v>
      </c>
      <c r="AB97" s="74" t="s">
        <v>11</v>
      </c>
      <c r="AC97" s="74" t="s">
        <v>11</v>
      </c>
      <c r="AD97" s="33"/>
      <c r="AE97" s="47"/>
      <c r="AF97" s="46" t="s">
        <v>14</v>
      </c>
      <c r="AG97" s="33"/>
      <c r="AH97" s="33">
        <v>5</v>
      </c>
      <c r="AI97" s="33">
        <v>4</v>
      </c>
      <c r="AJ97" s="33">
        <v>4</v>
      </c>
      <c r="AK97" s="48">
        <v>2</v>
      </c>
      <c r="AL97" s="49">
        <v>1</v>
      </c>
      <c r="AM97" s="49">
        <v>0</v>
      </c>
    </row>
    <row r="98" spans="1:39" ht="15.75" x14ac:dyDescent="0.25">
      <c r="A98" s="35" t="s">
        <v>235</v>
      </c>
      <c r="B98" s="87"/>
      <c r="C98" s="87"/>
      <c r="D98" s="33"/>
      <c r="E98" s="33"/>
      <c r="F98" s="33"/>
      <c r="G98" s="33"/>
      <c r="H98" s="74" t="s">
        <v>10</v>
      </c>
      <c r="I98" s="74" t="s">
        <v>12</v>
      </c>
      <c r="J98" s="73" t="s">
        <v>12</v>
      </c>
      <c r="K98" s="33"/>
      <c r="L98" s="33"/>
      <c r="M98" s="33"/>
      <c r="N98" s="74" t="s">
        <v>12</v>
      </c>
      <c r="O98" s="74" t="s">
        <v>12</v>
      </c>
      <c r="P98" s="73" t="s">
        <v>12</v>
      </c>
      <c r="Q98" s="47"/>
      <c r="R98" s="74" t="s">
        <v>11</v>
      </c>
      <c r="S98" s="74" t="s">
        <v>11</v>
      </c>
      <c r="T98" s="74" t="s">
        <v>11</v>
      </c>
      <c r="U98" s="74" t="s">
        <v>11</v>
      </c>
      <c r="V98" s="74" t="s">
        <v>11</v>
      </c>
      <c r="W98" s="33"/>
      <c r="X98" s="47"/>
      <c r="Y98" s="46" t="s">
        <v>14</v>
      </c>
      <c r="Z98" s="46" t="s">
        <v>14</v>
      </c>
      <c r="AA98" s="46" t="s">
        <v>14</v>
      </c>
      <c r="AB98" s="46" t="s">
        <v>14</v>
      </c>
      <c r="AC98" s="46" t="s">
        <v>14</v>
      </c>
      <c r="AD98" s="46" t="s">
        <v>14</v>
      </c>
      <c r="AE98" s="46" t="s">
        <v>14</v>
      </c>
      <c r="AF98" s="87"/>
      <c r="AG98" s="33"/>
      <c r="AH98" s="33">
        <v>5</v>
      </c>
      <c r="AI98" s="33">
        <v>1</v>
      </c>
      <c r="AJ98" s="33">
        <v>5</v>
      </c>
      <c r="AK98" s="48">
        <v>2</v>
      </c>
      <c r="AL98" s="49">
        <v>1</v>
      </c>
      <c r="AM98" s="49">
        <v>0</v>
      </c>
    </row>
    <row r="99" spans="1:39" ht="15.75" x14ac:dyDescent="0.25">
      <c r="A99" s="35" t="s">
        <v>228</v>
      </c>
      <c r="B99" s="87"/>
      <c r="C99" s="87"/>
      <c r="D99" s="84"/>
      <c r="E99" s="84"/>
      <c r="F99" s="84"/>
      <c r="G99" s="74" t="s">
        <v>10</v>
      </c>
      <c r="H99" s="74" t="s">
        <v>12</v>
      </c>
      <c r="I99" s="74" t="s">
        <v>12</v>
      </c>
      <c r="J99" s="47"/>
      <c r="K99" s="74" t="s">
        <v>11</v>
      </c>
      <c r="L99" s="74" t="s">
        <v>12</v>
      </c>
      <c r="M99" s="74" t="s">
        <v>11</v>
      </c>
      <c r="N99" s="74" t="s">
        <v>12</v>
      </c>
      <c r="O99" s="74" t="s">
        <v>11</v>
      </c>
      <c r="P99" s="47"/>
      <c r="Q99" s="73" t="s">
        <v>12</v>
      </c>
      <c r="R99" s="89" t="s">
        <v>12</v>
      </c>
      <c r="S99" s="89" t="s">
        <v>12</v>
      </c>
      <c r="T99" s="89" t="s">
        <v>10</v>
      </c>
      <c r="U99" s="46" t="s">
        <v>14</v>
      </c>
      <c r="V99" s="46" t="s">
        <v>14</v>
      </c>
      <c r="W99" s="89" t="s">
        <v>12</v>
      </c>
      <c r="X99" s="45" t="s">
        <v>14</v>
      </c>
      <c r="Y99" s="87"/>
      <c r="Z99" s="87"/>
      <c r="AA99" s="87"/>
      <c r="AB99" s="84"/>
      <c r="AC99" s="84"/>
      <c r="AD99" s="84"/>
      <c r="AE99" s="84"/>
      <c r="AF99" s="84"/>
      <c r="AG99" s="33"/>
      <c r="AH99" s="33">
        <v>3</v>
      </c>
      <c r="AI99" s="33">
        <v>2</v>
      </c>
      <c r="AJ99" s="33">
        <v>8</v>
      </c>
      <c r="AK99" s="48">
        <v>2</v>
      </c>
      <c r="AL99" s="49">
        <v>1</v>
      </c>
      <c r="AM99" s="49">
        <v>0</v>
      </c>
    </row>
    <row r="100" spans="1:39" ht="15.75" x14ac:dyDescent="0.25">
      <c r="A100" s="35" t="s">
        <v>234</v>
      </c>
      <c r="B100" s="74" t="s">
        <v>12</v>
      </c>
      <c r="C100" s="47"/>
      <c r="D100" s="74" t="s">
        <v>11</v>
      </c>
      <c r="E100" s="74" t="s">
        <v>11</v>
      </c>
      <c r="F100" s="74" t="s">
        <v>11</v>
      </c>
      <c r="G100" s="74" t="s">
        <v>11</v>
      </c>
      <c r="H100" s="74" t="s">
        <v>12</v>
      </c>
      <c r="I100" s="33"/>
      <c r="J100" s="47"/>
      <c r="K100" s="89" t="s">
        <v>12</v>
      </c>
      <c r="L100" s="89" t="s">
        <v>12</v>
      </c>
      <c r="M100" s="46" t="s">
        <v>14</v>
      </c>
      <c r="N100" s="105"/>
      <c r="O100" s="105"/>
      <c r="P100" s="105"/>
      <c r="Q100" s="105"/>
      <c r="R100" s="87"/>
      <c r="S100" s="87"/>
      <c r="T100" s="87"/>
      <c r="U100" s="33"/>
      <c r="V100" s="33"/>
      <c r="W100" s="33"/>
      <c r="X100" s="47"/>
      <c r="Y100" s="33"/>
      <c r="Z100" s="74" t="s">
        <v>12</v>
      </c>
      <c r="AA100" s="33"/>
      <c r="AB100" s="74" t="s">
        <v>10</v>
      </c>
      <c r="AC100" s="74" t="s">
        <v>12</v>
      </c>
      <c r="AD100" s="74" t="s">
        <v>12</v>
      </c>
      <c r="AE100" s="47"/>
      <c r="AF100" s="74" t="s">
        <v>12</v>
      </c>
      <c r="AG100" s="33"/>
      <c r="AH100" s="33">
        <v>4</v>
      </c>
      <c r="AI100" s="33">
        <v>1</v>
      </c>
      <c r="AJ100" s="33">
        <v>8</v>
      </c>
      <c r="AK100" s="48">
        <v>2</v>
      </c>
      <c r="AL100" s="49">
        <v>0</v>
      </c>
      <c r="AM100" s="49">
        <v>0</v>
      </c>
    </row>
    <row r="101" spans="1:39" ht="15.75" x14ac:dyDescent="0.25">
      <c r="A101" s="35" t="s">
        <v>230</v>
      </c>
      <c r="B101" s="33"/>
      <c r="C101" s="47"/>
      <c r="D101" s="46" t="s">
        <v>14</v>
      </c>
      <c r="E101" s="46" t="s">
        <v>14</v>
      </c>
      <c r="F101" s="46" t="s">
        <v>14</v>
      </c>
      <c r="G101" s="46" t="s">
        <v>14</v>
      </c>
      <c r="H101" s="46" t="s">
        <v>14</v>
      </c>
      <c r="I101" s="46" t="s">
        <v>14</v>
      </c>
      <c r="J101" s="45" t="s">
        <v>14</v>
      </c>
      <c r="K101" s="87"/>
      <c r="L101" s="87"/>
      <c r="M101" s="87"/>
      <c r="N101" s="84"/>
      <c r="O101" s="84"/>
      <c r="P101" s="84"/>
      <c r="Q101" s="84"/>
      <c r="R101" s="84"/>
      <c r="S101" s="84"/>
      <c r="T101" s="84"/>
      <c r="U101" s="74" t="s">
        <v>10</v>
      </c>
      <c r="V101" s="74" t="s">
        <v>12</v>
      </c>
      <c r="W101" s="87"/>
      <c r="X101" s="47"/>
      <c r="Y101" s="74" t="s">
        <v>12</v>
      </c>
      <c r="Z101" s="74" t="s">
        <v>11</v>
      </c>
      <c r="AA101" s="74" t="s">
        <v>12</v>
      </c>
      <c r="AB101" s="74" t="s">
        <v>11</v>
      </c>
      <c r="AC101" s="74" t="s">
        <v>11</v>
      </c>
      <c r="AD101" s="33"/>
      <c r="AE101" s="47"/>
      <c r="AF101" s="74" t="s">
        <v>12</v>
      </c>
      <c r="AG101" s="33"/>
      <c r="AH101" s="33">
        <v>3</v>
      </c>
      <c r="AI101" s="33">
        <v>1</v>
      </c>
      <c r="AJ101" s="33">
        <v>4</v>
      </c>
      <c r="AK101" s="48">
        <v>0</v>
      </c>
      <c r="AL101" s="49">
        <v>0</v>
      </c>
      <c r="AM101" s="49">
        <v>0</v>
      </c>
    </row>
    <row r="102" spans="1:39" ht="15.75" x14ac:dyDescent="0.25">
      <c r="A102" s="35" t="s">
        <v>227</v>
      </c>
      <c r="B102" s="89" t="s">
        <v>12</v>
      </c>
      <c r="C102" s="91" t="s">
        <v>10</v>
      </c>
      <c r="D102" s="74" t="s">
        <v>12</v>
      </c>
      <c r="E102" s="74" t="s">
        <v>12</v>
      </c>
      <c r="F102" s="74" t="s">
        <v>10</v>
      </c>
      <c r="G102" s="33"/>
      <c r="H102" s="33"/>
      <c r="I102" s="74" t="s">
        <v>12</v>
      </c>
      <c r="J102" s="47"/>
      <c r="K102" s="33"/>
      <c r="L102" s="33"/>
      <c r="M102" s="74" t="s">
        <v>12</v>
      </c>
      <c r="N102" s="74" t="s">
        <v>10</v>
      </c>
      <c r="O102" s="74" t="s">
        <v>12</v>
      </c>
      <c r="P102" s="73"/>
      <c r="Q102" s="47"/>
      <c r="R102" s="74" t="s">
        <v>11</v>
      </c>
      <c r="S102" s="74" t="s">
        <v>11</v>
      </c>
      <c r="T102" s="74" t="s">
        <v>11</v>
      </c>
      <c r="U102" s="74" t="s">
        <v>11</v>
      </c>
      <c r="V102" s="74" t="s">
        <v>11</v>
      </c>
      <c r="W102" s="33"/>
      <c r="X102" s="47"/>
      <c r="Y102" s="74" t="s">
        <v>10</v>
      </c>
      <c r="Z102" s="74" t="s">
        <v>10</v>
      </c>
      <c r="AA102" s="74" t="s">
        <v>12</v>
      </c>
      <c r="AB102" s="74" t="s">
        <v>12</v>
      </c>
      <c r="AC102" s="33"/>
      <c r="AD102" s="33"/>
      <c r="AE102" s="47"/>
      <c r="AF102" s="74" t="s">
        <v>12</v>
      </c>
      <c r="AG102" s="33"/>
      <c r="AH102" s="33">
        <v>5</v>
      </c>
      <c r="AI102" s="33">
        <v>5</v>
      </c>
      <c r="AJ102" s="33">
        <v>9</v>
      </c>
      <c r="AK102" s="48">
        <v>2</v>
      </c>
      <c r="AL102" s="49">
        <v>1</v>
      </c>
      <c r="AM102" s="49">
        <v>0</v>
      </c>
    </row>
    <row r="103" spans="1:39" x14ac:dyDescent="0.25">
      <c r="A103" s="35" t="s">
        <v>213</v>
      </c>
      <c r="B103" s="84"/>
      <c r="C103" s="84"/>
      <c r="D103" s="84"/>
      <c r="E103" s="84"/>
      <c r="F103" s="84"/>
      <c r="G103" s="74" t="s">
        <v>10</v>
      </c>
      <c r="H103" s="74" t="s">
        <v>12</v>
      </c>
      <c r="I103" s="74" t="s">
        <v>12</v>
      </c>
      <c r="J103" s="47"/>
      <c r="K103" s="74" t="s">
        <v>12</v>
      </c>
      <c r="L103" s="74" t="s">
        <v>11</v>
      </c>
      <c r="M103" s="74" t="s">
        <v>11</v>
      </c>
      <c r="N103" s="74" t="s">
        <v>11</v>
      </c>
      <c r="O103" s="74" t="s">
        <v>12</v>
      </c>
      <c r="P103" s="47"/>
      <c r="Q103" s="47"/>
      <c r="R103" s="74" t="s">
        <v>10</v>
      </c>
      <c r="S103" s="74" t="s">
        <v>10</v>
      </c>
      <c r="T103" s="74" t="s">
        <v>12</v>
      </c>
      <c r="U103" s="74" t="s">
        <v>12</v>
      </c>
      <c r="V103" s="33"/>
      <c r="W103" s="90" t="s">
        <v>14</v>
      </c>
      <c r="X103" s="47"/>
      <c r="Y103" s="74" t="s">
        <v>12</v>
      </c>
      <c r="Z103" s="74" t="s">
        <v>10</v>
      </c>
      <c r="AA103" s="74" t="s">
        <v>12</v>
      </c>
      <c r="AB103" s="74" t="s">
        <v>12</v>
      </c>
      <c r="AC103" s="84"/>
      <c r="AD103" s="84"/>
      <c r="AE103" s="84"/>
      <c r="AF103" s="87"/>
      <c r="AG103" s="33"/>
      <c r="AH103" s="33">
        <v>3</v>
      </c>
      <c r="AI103" s="33">
        <v>4</v>
      </c>
      <c r="AJ103" s="33">
        <v>9</v>
      </c>
      <c r="AK103" s="48">
        <v>1</v>
      </c>
      <c r="AL103" s="49">
        <v>0</v>
      </c>
      <c r="AM103" s="49">
        <v>0</v>
      </c>
    </row>
    <row r="104" spans="1:39" x14ac:dyDescent="0.25">
      <c r="A104" s="53" t="s">
        <v>224</v>
      </c>
      <c r="B104" s="54">
        <v>4</v>
      </c>
      <c r="C104" s="39">
        <v>3</v>
      </c>
      <c r="D104" s="54">
        <v>6</v>
      </c>
      <c r="E104" s="54">
        <v>6</v>
      </c>
      <c r="F104" s="54">
        <v>6</v>
      </c>
      <c r="G104" s="54">
        <v>6</v>
      </c>
      <c r="H104" s="54">
        <v>5</v>
      </c>
      <c r="I104" s="54">
        <v>4</v>
      </c>
      <c r="J104" s="39">
        <v>2</v>
      </c>
      <c r="K104" s="54">
        <v>5</v>
      </c>
      <c r="L104" s="54">
        <v>5</v>
      </c>
      <c r="M104" s="54">
        <v>6</v>
      </c>
      <c r="N104" s="54">
        <v>5</v>
      </c>
      <c r="O104" s="54">
        <v>5</v>
      </c>
      <c r="P104" s="39">
        <v>2</v>
      </c>
      <c r="Q104" s="39">
        <v>2</v>
      </c>
      <c r="R104" s="54">
        <v>6</v>
      </c>
      <c r="S104" s="54">
        <v>6</v>
      </c>
      <c r="T104" s="54">
        <v>6</v>
      </c>
      <c r="U104" s="54">
        <v>6</v>
      </c>
      <c r="V104" s="54">
        <v>6</v>
      </c>
      <c r="W104" s="54">
        <v>4</v>
      </c>
      <c r="X104" s="39">
        <v>2</v>
      </c>
      <c r="Y104" s="54">
        <v>5</v>
      </c>
      <c r="Z104" s="54">
        <v>6</v>
      </c>
      <c r="AA104" s="54">
        <v>5</v>
      </c>
      <c r="AB104" s="54">
        <v>6</v>
      </c>
      <c r="AC104" s="54">
        <v>6</v>
      </c>
      <c r="AD104" s="54">
        <v>4</v>
      </c>
      <c r="AE104" s="39">
        <v>2</v>
      </c>
      <c r="AF104" s="54">
        <v>4</v>
      </c>
    </row>
    <row r="105" spans="1:39" x14ac:dyDescent="0.25">
      <c r="B105" s="138" t="s">
        <v>223</v>
      </c>
      <c r="C105" s="138"/>
      <c r="D105" s="138"/>
      <c r="E105" s="138"/>
      <c r="F105" s="138"/>
      <c r="G105" s="138"/>
      <c r="H105" s="138"/>
      <c r="I105" s="138"/>
      <c r="J105" s="138"/>
      <c r="K105" s="138"/>
      <c r="L105" s="138"/>
      <c r="M105" s="138"/>
      <c r="N105" s="138"/>
      <c r="O105" s="138"/>
      <c r="P105" s="138"/>
      <c r="Q105" s="138"/>
      <c r="R105" s="138"/>
      <c r="S105" s="138"/>
      <c r="T105" s="138"/>
      <c r="U105" s="138"/>
      <c r="V105" s="138"/>
      <c r="W105" s="138"/>
      <c r="X105" s="138"/>
      <c r="Y105" s="138"/>
      <c r="Z105" s="138"/>
      <c r="AA105" s="138"/>
      <c r="AB105" s="138"/>
      <c r="AC105" s="138"/>
      <c r="AD105" s="138"/>
      <c r="AE105" s="138"/>
      <c r="AF105" s="138"/>
    </row>
    <row r="106" spans="1:39" ht="17.25" x14ac:dyDescent="0.3">
      <c r="A106" s="26" t="s">
        <v>191</v>
      </c>
    </row>
    <row r="107" spans="1:39" ht="30" x14ac:dyDescent="0.25">
      <c r="A107" s="52" t="s">
        <v>13</v>
      </c>
      <c r="B107" s="51" t="s">
        <v>107</v>
      </c>
      <c r="C107" s="50" t="s">
        <v>108</v>
      </c>
      <c r="D107" s="51" t="s">
        <v>109</v>
      </c>
      <c r="E107" s="51" t="s">
        <v>110</v>
      </c>
      <c r="F107" s="51" t="s">
        <v>19</v>
      </c>
      <c r="G107" s="51" t="s">
        <v>111</v>
      </c>
      <c r="H107" s="51" t="s">
        <v>112</v>
      </c>
      <c r="I107" s="51" t="s">
        <v>113</v>
      </c>
      <c r="J107" s="50" t="s">
        <v>114</v>
      </c>
      <c r="K107" s="51" t="s">
        <v>115</v>
      </c>
      <c r="L107" s="51" t="s">
        <v>116</v>
      </c>
      <c r="M107" s="51" t="s">
        <v>26</v>
      </c>
      <c r="N107" s="51" t="s">
        <v>117</v>
      </c>
      <c r="O107" s="51" t="s">
        <v>118</v>
      </c>
      <c r="P107" s="50" t="s">
        <v>119</v>
      </c>
      <c r="Q107" s="50" t="s">
        <v>120</v>
      </c>
      <c r="R107" s="51" t="s">
        <v>121</v>
      </c>
      <c r="S107" s="51" t="s">
        <v>122</v>
      </c>
      <c r="T107" s="51" t="s">
        <v>33</v>
      </c>
      <c r="U107" s="51" t="s">
        <v>123</v>
      </c>
      <c r="V107" s="51" t="s">
        <v>124</v>
      </c>
      <c r="W107" s="51" t="s">
        <v>125</v>
      </c>
      <c r="X107" s="50" t="s">
        <v>126</v>
      </c>
      <c r="Y107" s="51" t="s">
        <v>127</v>
      </c>
      <c r="Z107" s="51" t="s">
        <v>128</v>
      </c>
      <c r="AA107" s="51" t="s">
        <v>40</v>
      </c>
      <c r="AB107" s="51" t="s">
        <v>129</v>
      </c>
      <c r="AC107" s="51" t="s">
        <v>130</v>
      </c>
      <c r="AD107" s="51" t="s">
        <v>131</v>
      </c>
      <c r="AE107" s="50" t="s">
        <v>132</v>
      </c>
      <c r="AF107" s="51" t="s">
        <v>133</v>
      </c>
    </row>
    <row r="108" spans="1:39" x14ac:dyDescent="0.25">
      <c r="A108" s="35" t="s">
        <v>231</v>
      </c>
      <c r="B108" s="33"/>
      <c r="C108" s="47"/>
      <c r="D108" s="74" t="s">
        <v>212</v>
      </c>
      <c r="E108" s="33"/>
      <c r="F108" s="33"/>
      <c r="G108" s="33"/>
      <c r="H108" s="33"/>
      <c r="I108" s="33"/>
      <c r="J108" s="47"/>
      <c r="K108" s="33"/>
      <c r="L108" s="33"/>
      <c r="M108" s="33"/>
      <c r="N108" s="33"/>
      <c r="O108" s="33"/>
      <c r="P108" s="47"/>
      <c r="Q108" s="47"/>
      <c r="R108" s="33"/>
      <c r="S108" s="33"/>
      <c r="T108" s="33"/>
      <c r="U108" s="33"/>
      <c r="V108" s="33"/>
      <c r="W108" s="33"/>
      <c r="X108" s="47"/>
      <c r="Y108" s="33"/>
      <c r="Z108" s="33"/>
      <c r="AA108" s="74" t="s">
        <v>211</v>
      </c>
      <c r="AB108" s="33"/>
      <c r="AC108" s="33"/>
      <c r="AD108" s="33"/>
      <c r="AE108" s="47"/>
      <c r="AF108" s="33"/>
    </row>
    <row r="109" spans="1:39" x14ac:dyDescent="0.25">
      <c r="A109" s="35" t="s">
        <v>233</v>
      </c>
      <c r="B109" s="33"/>
      <c r="C109" s="47"/>
      <c r="D109" s="33"/>
      <c r="E109" s="33"/>
      <c r="F109" s="33"/>
      <c r="G109" s="33"/>
      <c r="H109" s="33"/>
      <c r="I109" s="33"/>
      <c r="J109" s="47"/>
      <c r="K109" s="33"/>
      <c r="L109" s="33"/>
      <c r="M109" s="33"/>
      <c r="N109" s="33"/>
      <c r="O109" s="33"/>
      <c r="P109" s="47"/>
      <c r="Q109" s="47"/>
      <c r="R109" s="33"/>
      <c r="S109" s="33"/>
      <c r="T109" s="74" t="s">
        <v>211</v>
      </c>
      <c r="U109" s="33"/>
      <c r="V109" s="33"/>
      <c r="W109" s="33"/>
      <c r="X109" s="47"/>
      <c r="Y109" s="33"/>
      <c r="Z109" s="33"/>
      <c r="AA109" s="33"/>
      <c r="AB109" s="33"/>
      <c r="AC109" s="74" t="s">
        <v>211</v>
      </c>
      <c r="AD109" s="33"/>
      <c r="AE109" s="47"/>
      <c r="AF109" s="33"/>
    </row>
    <row r="110" spans="1:39" x14ac:dyDescent="0.25">
      <c r="A110" s="35" t="s">
        <v>226</v>
      </c>
      <c r="B110" s="33"/>
      <c r="C110" s="47"/>
      <c r="D110" s="33"/>
      <c r="E110" s="33"/>
      <c r="F110" s="33"/>
      <c r="G110" s="33"/>
      <c r="H110" s="33"/>
      <c r="I110" s="33"/>
      <c r="J110" s="47"/>
      <c r="K110" s="33"/>
      <c r="L110" s="33"/>
      <c r="M110" s="74" t="s">
        <v>211</v>
      </c>
      <c r="N110" s="33"/>
      <c r="O110" s="33"/>
      <c r="P110" s="47"/>
      <c r="Q110" s="47"/>
      <c r="R110" s="33"/>
      <c r="S110" s="33"/>
      <c r="T110" s="33"/>
      <c r="U110" s="33"/>
      <c r="V110" s="74" t="s">
        <v>211</v>
      </c>
      <c r="W110" s="33"/>
      <c r="X110" s="47"/>
      <c r="Y110" s="33"/>
      <c r="Z110" s="33"/>
      <c r="AA110" s="33"/>
      <c r="AB110" s="33"/>
      <c r="AC110" s="74" t="s">
        <v>211</v>
      </c>
      <c r="AD110" s="33"/>
      <c r="AE110" s="47"/>
      <c r="AF110" s="33"/>
    </row>
    <row r="111" spans="1:39" x14ac:dyDescent="0.25">
      <c r="A111" s="35" t="s">
        <v>232</v>
      </c>
      <c r="B111" s="33"/>
      <c r="C111" s="47"/>
      <c r="D111" s="33"/>
      <c r="E111" s="33"/>
      <c r="F111" s="74" t="s">
        <v>211</v>
      </c>
      <c r="G111" s="33"/>
      <c r="H111" s="33"/>
      <c r="I111" s="33"/>
      <c r="J111" s="47"/>
      <c r="K111" s="33"/>
      <c r="L111" s="33"/>
      <c r="M111" s="33"/>
      <c r="N111" s="33"/>
      <c r="O111" s="74" t="s">
        <v>211</v>
      </c>
      <c r="P111" s="47"/>
      <c r="Q111" s="47"/>
      <c r="R111" s="33"/>
      <c r="S111" s="33"/>
      <c r="T111" s="33"/>
      <c r="U111" s="33"/>
      <c r="V111" s="74" t="s">
        <v>211</v>
      </c>
      <c r="W111" s="33"/>
      <c r="X111" s="47"/>
      <c r="Y111" s="33"/>
      <c r="Z111" s="33"/>
      <c r="AA111" s="33"/>
      <c r="AB111" s="74" t="s">
        <v>211</v>
      </c>
      <c r="AC111" s="33"/>
      <c r="AD111" s="33"/>
      <c r="AE111" s="47"/>
      <c r="AF111" s="33"/>
    </row>
    <row r="112" spans="1:39" x14ac:dyDescent="0.25">
      <c r="A112" s="35" t="s">
        <v>229</v>
      </c>
      <c r="B112" s="33"/>
      <c r="C112" s="47"/>
      <c r="D112" s="33"/>
      <c r="E112" s="33"/>
      <c r="F112" s="33"/>
      <c r="G112" s="33"/>
      <c r="H112" s="74" t="s">
        <v>211</v>
      </c>
      <c r="I112" s="33"/>
      <c r="J112" s="47"/>
      <c r="K112" s="33"/>
      <c r="L112" s="33"/>
      <c r="M112" s="33"/>
      <c r="N112" s="33"/>
      <c r="O112" s="74" t="s">
        <v>211</v>
      </c>
      <c r="P112" s="47"/>
      <c r="Q112" s="47"/>
      <c r="R112" s="33"/>
      <c r="S112" s="33"/>
      <c r="T112" s="33"/>
      <c r="U112" s="74" t="s">
        <v>211</v>
      </c>
      <c r="V112" s="33"/>
      <c r="W112" s="33"/>
      <c r="X112" s="47"/>
      <c r="Y112" s="33"/>
      <c r="Z112" s="74" t="s">
        <v>211</v>
      </c>
      <c r="AA112" s="33"/>
      <c r="AB112" s="33"/>
      <c r="AC112" s="33"/>
      <c r="AD112" s="33"/>
      <c r="AE112" s="47"/>
      <c r="AF112" s="33"/>
    </row>
    <row r="113" spans="1:38" x14ac:dyDescent="0.25">
      <c r="A113" s="35" t="s">
        <v>235</v>
      </c>
      <c r="B113" s="33"/>
      <c r="C113" s="47"/>
      <c r="D113" s="33"/>
      <c r="E113" s="33"/>
      <c r="F113" s="33"/>
      <c r="G113" s="33"/>
      <c r="H113" s="74" t="s">
        <v>211</v>
      </c>
      <c r="I113" s="33"/>
      <c r="J113" s="47"/>
      <c r="K113" s="33"/>
      <c r="L113" s="33"/>
      <c r="M113" s="33"/>
      <c r="N113" s="74" t="s">
        <v>211</v>
      </c>
      <c r="O113" s="33"/>
      <c r="P113" s="47"/>
      <c r="Q113" s="47"/>
      <c r="R113" s="33"/>
      <c r="S113" s="74" t="s">
        <v>211</v>
      </c>
      <c r="T113" s="33"/>
      <c r="U113" s="33"/>
      <c r="V113" s="33"/>
      <c r="W113" s="33"/>
      <c r="X113" s="47"/>
      <c r="Y113" s="33"/>
      <c r="Z113" s="33"/>
      <c r="AA113" s="33"/>
      <c r="AB113" s="33"/>
      <c r="AC113" s="33"/>
      <c r="AD113" s="33"/>
      <c r="AE113" s="47"/>
      <c r="AF113" s="33"/>
    </row>
    <row r="114" spans="1:38" x14ac:dyDescent="0.25">
      <c r="A114" s="35" t="s">
        <v>228</v>
      </c>
      <c r="B114" s="33"/>
      <c r="C114" s="47"/>
      <c r="D114" s="33"/>
      <c r="E114" s="33"/>
      <c r="F114" s="33"/>
      <c r="G114" s="74" t="s">
        <v>211</v>
      </c>
      <c r="H114" s="33"/>
      <c r="I114" s="33"/>
      <c r="J114" s="47"/>
      <c r="K114" s="33"/>
      <c r="L114" s="74" t="s">
        <v>211</v>
      </c>
      <c r="M114" s="33"/>
      <c r="N114" s="33"/>
      <c r="O114" s="33"/>
      <c r="P114" s="47"/>
      <c r="Q114" s="47"/>
      <c r="R114" s="33"/>
      <c r="S114" s="33"/>
      <c r="T114" s="33"/>
      <c r="U114" s="33"/>
      <c r="V114" s="33"/>
      <c r="W114" s="33"/>
      <c r="X114" s="47"/>
      <c r="Y114" s="33"/>
      <c r="Z114" s="33"/>
      <c r="AA114" s="74" t="s">
        <v>211</v>
      </c>
      <c r="AB114" s="33"/>
      <c r="AC114" s="33"/>
      <c r="AD114" s="33"/>
      <c r="AE114" s="47"/>
      <c r="AF114" s="33"/>
    </row>
    <row r="115" spans="1:38" x14ac:dyDescent="0.25">
      <c r="A115" s="35" t="s">
        <v>234</v>
      </c>
      <c r="B115" s="33"/>
      <c r="C115" s="47"/>
      <c r="D115" s="33"/>
      <c r="E115" s="74" t="s">
        <v>211</v>
      </c>
      <c r="F115" s="33"/>
      <c r="G115" s="33"/>
      <c r="H115" s="33"/>
      <c r="I115" s="33"/>
      <c r="J115" s="47"/>
      <c r="K115" s="33"/>
      <c r="L115" s="33"/>
      <c r="M115" s="33"/>
      <c r="N115" s="33"/>
      <c r="O115" s="33"/>
      <c r="P115" s="47"/>
      <c r="Q115" s="47"/>
      <c r="R115" s="33"/>
      <c r="S115" s="33"/>
      <c r="T115" s="74" t="s">
        <v>211</v>
      </c>
      <c r="U115" s="33"/>
      <c r="V115" s="33"/>
      <c r="W115" s="33"/>
      <c r="X115" s="47"/>
      <c r="Y115" s="33"/>
      <c r="Z115" s="33"/>
      <c r="AA115" s="33"/>
      <c r="AB115" s="74" t="s">
        <v>211</v>
      </c>
      <c r="AC115" s="33"/>
      <c r="AD115" s="33"/>
      <c r="AE115" s="47"/>
      <c r="AF115" s="74" t="s">
        <v>212</v>
      </c>
    </row>
    <row r="116" spans="1:38" x14ac:dyDescent="0.25">
      <c r="A116" s="35" t="s">
        <v>230</v>
      </c>
      <c r="B116" s="33"/>
      <c r="C116" s="47"/>
      <c r="D116" s="33"/>
      <c r="E116" s="33"/>
      <c r="F116" s="33"/>
      <c r="G116" s="33"/>
      <c r="H116" s="33"/>
      <c r="I116" s="33"/>
      <c r="J116" s="47"/>
      <c r="K116" s="33"/>
      <c r="L116" s="33"/>
      <c r="M116" s="74" t="s">
        <v>211</v>
      </c>
      <c r="N116" s="33"/>
      <c r="O116" s="33"/>
      <c r="P116" s="47"/>
      <c r="Q116" s="47"/>
      <c r="R116" s="33"/>
      <c r="S116" s="33"/>
      <c r="T116" s="33"/>
      <c r="U116" s="74" t="s">
        <v>211</v>
      </c>
      <c r="V116" s="33"/>
      <c r="W116" s="33"/>
      <c r="X116" s="47"/>
      <c r="Y116" s="74" t="s">
        <v>212</v>
      </c>
      <c r="Z116" s="33"/>
      <c r="AA116" s="33"/>
      <c r="AB116" s="33"/>
      <c r="AC116" s="33"/>
      <c r="AD116" s="33"/>
      <c r="AE116" s="47"/>
      <c r="AF116" s="33"/>
    </row>
    <row r="117" spans="1:38" x14ac:dyDescent="0.25">
      <c r="A117" s="35" t="s">
        <v>227</v>
      </c>
      <c r="B117" s="33"/>
      <c r="C117" s="47"/>
      <c r="D117" s="33"/>
      <c r="E117" s="33"/>
      <c r="F117" s="74" t="s">
        <v>211</v>
      </c>
      <c r="G117" s="33"/>
      <c r="H117" s="33"/>
      <c r="I117" s="33"/>
      <c r="J117" s="47"/>
      <c r="K117" s="33"/>
      <c r="L117" s="33"/>
      <c r="M117" s="33"/>
      <c r="N117" s="74" t="s">
        <v>211</v>
      </c>
      <c r="O117" s="33"/>
      <c r="P117" s="47"/>
      <c r="Q117" s="47"/>
      <c r="R117" s="74" t="s">
        <v>212</v>
      </c>
      <c r="S117" s="33"/>
      <c r="T117" s="33"/>
      <c r="U117" s="33"/>
      <c r="V117" s="33"/>
      <c r="W117" s="33"/>
      <c r="X117" s="47"/>
      <c r="Y117" s="33"/>
      <c r="Z117" s="33"/>
      <c r="AA117" s="33"/>
      <c r="AB117" s="33"/>
      <c r="AC117" s="33"/>
      <c r="AD117" s="33"/>
      <c r="AE117" s="47"/>
      <c r="AF117" s="33"/>
    </row>
    <row r="118" spans="1:38" x14ac:dyDescent="0.25">
      <c r="A118" s="35" t="s">
        <v>213</v>
      </c>
      <c r="B118" s="33"/>
      <c r="C118" s="47"/>
      <c r="D118" s="33"/>
      <c r="E118" s="33"/>
      <c r="F118" s="33"/>
      <c r="G118" s="74" t="s">
        <v>211</v>
      </c>
      <c r="H118" s="33"/>
      <c r="I118" s="33"/>
      <c r="J118" s="47"/>
      <c r="K118" s="74" t="s">
        <v>212</v>
      </c>
      <c r="L118" s="33"/>
      <c r="M118" s="33"/>
      <c r="N118" s="33"/>
      <c r="O118" s="33"/>
      <c r="P118" s="47"/>
      <c r="Q118" s="47"/>
      <c r="R118" s="33"/>
      <c r="S118" s="33"/>
      <c r="T118" s="33"/>
      <c r="U118" s="33"/>
      <c r="V118" s="33"/>
      <c r="W118" s="33"/>
      <c r="X118" s="47"/>
      <c r="Y118" s="33"/>
      <c r="Z118" s="33"/>
      <c r="AA118" s="33"/>
      <c r="AB118" s="33"/>
      <c r="AC118" s="33"/>
      <c r="AD118" s="33"/>
      <c r="AE118" s="47"/>
      <c r="AF118" s="33"/>
    </row>
    <row r="121" spans="1:38" ht="18.75" x14ac:dyDescent="0.3">
      <c r="A121" s="22" t="s">
        <v>208</v>
      </c>
    </row>
    <row r="122" spans="1:38" ht="30" x14ac:dyDescent="0.25">
      <c r="A122" s="34" t="s">
        <v>13</v>
      </c>
      <c r="B122" s="38" t="s">
        <v>76</v>
      </c>
      <c r="C122" s="38" t="s">
        <v>47</v>
      </c>
      <c r="D122" s="38" t="s">
        <v>134</v>
      </c>
      <c r="E122" s="38" t="s">
        <v>135</v>
      </c>
      <c r="F122" s="38" t="s">
        <v>136</v>
      </c>
      <c r="G122" s="37" t="s">
        <v>137</v>
      </c>
      <c r="H122" s="38" t="s">
        <v>138</v>
      </c>
      <c r="I122" s="38" t="s">
        <v>83</v>
      </c>
      <c r="J122" s="38" t="s">
        <v>54</v>
      </c>
      <c r="K122" s="38" t="s">
        <v>139</v>
      </c>
      <c r="L122" s="38" t="s">
        <v>140</v>
      </c>
      <c r="M122" s="38" t="s">
        <v>141</v>
      </c>
      <c r="N122" s="37" t="s">
        <v>142</v>
      </c>
      <c r="O122" s="38" t="s">
        <v>143</v>
      </c>
      <c r="P122" s="38" t="s">
        <v>90</v>
      </c>
      <c r="Q122" s="38" t="s">
        <v>61</v>
      </c>
      <c r="R122" s="38" t="s">
        <v>144</v>
      </c>
      <c r="S122" s="38" t="s">
        <v>145</v>
      </c>
      <c r="T122" s="38" t="s">
        <v>146</v>
      </c>
      <c r="U122" s="37" t="s">
        <v>147</v>
      </c>
      <c r="V122" s="38" t="s">
        <v>148</v>
      </c>
      <c r="W122" s="38" t="s">
        <v>97</v>
      </c>
      <c r="X122" s="38" t="s">
        <v>68</v>
      </c>
      <c r="Y122" s="38" t="s">
        <v>149</v>
      </c>
      <c r="Z122" s="38" t="s">
        <v>150</v>
      </c>
      <c r="AA122" s="38" t="s">
        <v>151</v>
      </c>
      <c r="AB122" s="37" t="s">
        <v>152</v>
      </c>
      <c r="AC122" s="38" t="s">
        <v>153</v>
      </c>
      <c r="AD122" s="38" t="s">
        <v>104</v>
      </c>
      <c r="AE122" s="38" t="s">
        <v>75</v>
      </c>
      <c r="AF122" s="33"/>
      <c r="AG122" s="73" t="s">
        <v>11</v>
      </c>
      <c r="AH122" s="73" t="s">
        <v>10</v>
      </c>
      <c r="AI122" s="73" t="s">
        <v>12</v>
      </c>
      <c r="AJ122" s="43" t="s">
        <v>221</v>
      </c>
      <c r="AK122" s="44" t="s">
        <v>184</v>
      </c>
      <c r="AL122" s="72" t="s">
        <v>185</v>
      </c>
    </row>
    <row r="123" spans="1:38" ht="15.75" x14ac:dyDescent="0.25">
      <c r="A123" s="35" t="s">
        <v>231</v>
      </c>
      <c r="B123" s="84"/>
      <c r="C123" s="84"/>
      <c r="D123" s="84"/>
      <c r="E123" s="74" t="s">
        <v>10</v>
      </c>
      <c r="F123" s="74" t="s">
        <v>12</v>
      </c>
      <c r="G123" s="73" t="s">
        <v>12</v>
      </c>
      <c r="H123" s="33"/>
      <c r="I123" s="33"/>
      <c r="J123" s="33"/>
      <c r="K123" s="33"/>
      <c r="L123" s="74" t="s">
        <v>10</v>
      </c>
      <c r="M123" s="74" t="s">
        <v>12</v>
      </c>
      <c r="N123" s="73" t="s">
        <v>12</v>
      </c>
      <c r="O123" s="33"/>
      <c r="P123" s="33"/>
      <c r="Q123" s="33"/>
      <c r="R123" s="74" t="s">
        <v>10</v>
      </c>
      <c r="S123" s="74" t="s">
        <v>12</v>
      </c>
      <c r="T123" s="74" t="s">
        <v>12</v>
      </c>
      <c r="U123" s="47"/>
      <c r="V123" s="74" t="s">
        <v>11</v>
      </c>
      <c r="W123" s="74" t="s">
        <v>11</v>
      </c>
      <c r="X123" s="74" t="s">
        <v>11</v>
      </c>
      <c r="Y123" s="74" t="s">
        <v>11</v>
      </c>
      <c r="Z123" s="74" t="s">
        <v>11</v>
      </c>
      <c r="AA123" s="33"/>
      <c r="AB123" s="47"/>
      <c r="AC123" s="46" t="s">
        <v>14</v>
      </c>
      <c r="AD123" s="46" t="s">
        <v>14</v>
      </c>
      <c r="AE123" s="46" t="s">
        <v>14</v>
      </c>
      <c r="AF123" s="33"/>
      <c r="AG123" s="33">
        <v>5</v>
      </c>
      <c r="AH123" s="33">
        <v>3</v>
      </c>
      <c r="AI123" s="33">
        <v>6</v>
      </c>
      <c r="AJ123" s="48">
        <v>3</v>
      </c>
      <c r="AK123" s="49">
        <v>2</v>
      </c>
      <c r="AL123" s="49">
        <v>0</v>
      </c>
    </row>
    <row r="124" spans="1:38" ht="15.75" x14ac:dyDescent="0.25">
      <c r="A124" s="35" t="s">
        <v>233</v>
      </c>
      <c r="B124" s="90" t="s">
        <v>14</v>
      </c>
      <c r="C124" s="33"/>
      <c r="D124" s="33"/>
      <c r="E124" s="74" t="s">
        <v>10</v>
      </c>
      <c r="F124" s="74" t="s">
        <v>12</v>
      </c>
      <c r="G124" s="73" t="s">
        <v>12</v>
      </c>
      <c r="H124" s="33"/>
      <c r="I124" s="33"/>
      <c r="J124" s="33"/>
      <c r="K124" s="74" t="s">
        <v>10</v>
      </c>
      <c r="L124" s="74" t="s">
        <v>12</v>
      </c>
      <c r="M124" s="74" t="s">
        <v>12</v>
      </c>
      <c r="N124" s="47"/>
      <c r="O124" s="74" t="s">
        <v>11</v>
      </c>
      <c r="P124" s="74" t="s">
        <v>11</v>
      </c>
      <c r="Q124" s="74" t="s">
        <v>11</v>
      </c>
      <c r="R124" s="74" t="s">
        <v>11</v>
      </c>
      <c r="S124" s="74" t="s">
        <v>12</v>
      </c>
      <c r="T124" s="33"/>
      <c r="U124" s="47"/>
      <c r="V124" s="46"/>
      <c r="W124" s="46" t="s">
        <v>14</v>
      </c>
      <c r="X124" s="46" t="s">
        <v>14</v>
      </c>
      <c r="Y124" s="46" t="s">
        <v>14</v>
      </c>
      <c r="Z124" s="46" t="s">
        <v>14</v>
      </c>
      <c r="AA124" s="46" t="s">
        <v>14</v>
      </c>
      <c r="AB124" s="45" t="s">
        <v>14</v>
      </c>
      <c r="AC124" s="74" t="s">
        <v>12</v>
      </c>
      <c r="AD124" s="74" t="s">
        <v>12</v>
      </c>
      <c r="AE124" s="74" t="s">
        <v>10</v>
      </c>
      <c r="AF124" s="33"/>
      <c r="AG124" s="33">
        <v>4</v>
      </c>
      <c r="AH124" s="33">
        <v>3</v>
      </c>
      <c r="AI124" s="33">
        <v>7</v>
      </c>
      <c r="AJ124" s="48">
        <v>2</v>
      </c>
      <c r="AK124" s="49">
        <v>1</v>
      </c>
      <c r="AL124" s="49">
        <v>0</v>
      </c>
    </row>
    <row r="125" spans="1:38" ht="15.75" x14ac:dyDescent="0.25">
      <c r="A125" s="35" t="s">
        <v>226</v>
      </c>
      <c r="B125" s="74" t="s">
        <v>12</v>
      </c>
      <c r="C125" s="90" t="s">
        <v>14</v>
      </c>
      <c r="D125" s="74" t="s">
        <v>10</v>
      </c>
      <c r="E125" s="74" t="s">
        <v>12</v>
      </c>
      <c r="F125" s="74" t="s">
        <v>12</v>
      </c>
      <c r="G125" s="47"/>
      <c r="H125" s="74" t="s">
        <v>11</v>
      </c>
      <c r="I125" s="74" t="s">
        <v>12</v>
      </c>
      <c r="J125" s="74" t="s">
        <v>11</v>
      </c>
      <c r="K125" s="74" t="s">
        <v>11</v>
      </c>
      <c r="L125" s="74" t="s">
        <v>11</v>
      </c>
      <c r="M125" s="74" t="s">
        <v>10</v>
      </c>
      <c r="N125" s="47"/>
      <c r="O125" s="46" t="s">
        <v>14</v>
      </c>
      <c r="P125" s="46" t="s">
        <v>14</v>
      </c>
      <c r="Q125" s="46" t="s">
        <v>14</v>
      </c>
      <c r="R125" s="46" t="s">
        <v>14</v>
      </c>
      <c r="S125" s="46" t="s">
        <v>14</v>
      </c>
      <c r="T125" s="46" t="s">
        <v>14</v>
      </c>
      <c r="U125" s="45" t="s">
        <v>14</v>
      </c>
      <c r="V125" s="74" t="s">
        <v>12</v>
      </c>
      <c r="W125" s="74" t="s">
        <v>12</v>
      </c>
      <c r="X125" s="74" t="s">
        <v>10</v>
      </c>
      <c r="Y125" s="33"/>
      <c r="Z125" s="84"/>
      <c r="AA125" s="84"/>
      <c r="AB125" s="84"/>
      <c r="AC125" s="84"/>
      <c r="AD125" s="84"/>
      <c r="AE125" s="84"/>
      <c r="AF125" s="33"/>
      <c r="AG125" s="33">
        <v>4</v>
      </c>
      <c r="AH125" s="33">
        <v>3</v>
      </c>
      <c r="AI125" s="33">
        <v>6</v>
      </c>
      <c r="AJ125" s="48">
        <v>2</v>
      </c>
      <c r="AK125" s="49">
        <v>0</v>
      </c>
      <c r="AL125" s="49">
        <v>0</v>
      </c>
    </row>
    <row r="126" spans="1:38" ht="15.75" x14ac:dyDescent="0.25">
      <c r="A126" s="35" t="s">
        <v>232</v>
      </c>
      <c r="B126" s="74" t="s">
        <v>11</v>
      </c>
      <c r="C126" s="74" t="s">
        <v>12</v>
      </c>
      <c r="D126" s="74" t="s">
        <v>11</v>
      </c>
      <c r="E126" s="74" t="s">
        <v>11</v>
      </c>
      <c r="F126" s="33"/>
      <c r="G126" s="47"/>
      <c r="H126" s="46" t="s">
        <v>14</v>
      </c>
      <c r="I126" s="46" t="s">
        <v>14</v>
      </c>
      <c r="J126" s="46" t="s">
        <v>14</v>
      </c>
      <c r="K126" s="46" t="s">
        <v>14</v>
      </c>
      <c r="L126" s="46" t="s">
        <v>14</v>
      </c>
      <c r="M126" s="46" t="s">
        <v>14</v>
      </c>
      <c r="N126" s="45" t="s">
        <v>14</v>
      </c>
      <c r="O126" s="74"/>
      <c r="P126" s="74"/>
      <c r="Q126" s="74" t="s">
        <v>10</v>
      </c>
      <c r="R126" s="33"/>
      <c r="S126" s="74" t="s">
        <v>12</v>
      </c>
      <c r="T126" s="74" t="s">
        <v>12</v>
      </c>
      <c r="U126" s="47"/>
      <c r="V126" s="33"/>
      <c r="W126" s="33"/>
      <c r="X126" s="33"/>
      <c r="Y126" s="74" t="s">
        <v>10</v>
      </c>
      <c r="Z126" s="74" t="s">
        <v>12</v>
      </c>
      <c r="AA126" s="74" t="s">
        <v>12</v>
      </c>
      <c r="AB126" s="47"/>
      <c r="AC126" s="74" t="s">
        <v>11</v>
      </c>
      <c r="AD126" s="74" t="s">
        <v>11</v>
      </c>
      <c r="AE126" s="74" t="s">
        <v>11</v>
      </c>
      <c r="AF126" s="33"/>
      <c r="AG126" s="33">
        <v>6</v>
      </c>
      <c r="AH126" s="33">
        <v>2</v>
      </c>
      <c r="AI126" s="33">
        <v>5</v>
      </c>
      <c r="AJ126" s="48">
        <v>2</v>
      </c>
      <c r="AK126" s="49">
        <v>0</v>
      </c>
      <c r="AL126" s="49">
        <v>0</v>
      </c>
    </row>
    <row r="127" spans="1:38" ht="15.75" x14ac:dyDescent="0.25">
      <c r="A127" s="35" t="s">
        <v>229</v>
      </c>
      <c r="B127" s="89" t="s">
        <v>10</v>
      </c>
      <c r="C127" s="46"/>
      <c r="D127" s="46" t="s">
        <v>14</v>
      </c>
      <c r="E127" s="46" t="s">
        <v>14</v>
      </c>
      <c r="F127" s="46" t="s">
        <v>14</v>
      </c>
      <c r="G127" s="45" t="s">
        <v>14</v>
      </c>
      <c r="H127" s="74" t="s">
        <v>12</v>
      </c>
      <c r="I127" s="74" t="s">
        <v>12</v>
      </c>
      <c r="J127" s="74" t="s">
        <v>10</v>
      </c>
      <c r="K127" s="33"/>
      <c r="L127" s="74" t="s">
        <v>10</v>
      </c>
      <c r="M127" s="33"/>
      <c r="N127" s="47"/>
      <c r="O127" s="74" t="s">
        <v>12</v>
      </c>
      <c r="P127" s="74" t="s">
        <v>12</v>
      </c>
      <c r="Q127" s="33"/>
      <c r="R127" s="74" t="s">
        <v>10</v>
      </c>
      <c r="S127" s="87"/>
      <c r="T127" s="87"/>
      <c r="U127" s="84"/>
      <c r="V127" s="74" t="s">
        <v>11</v>
      </c>
      <c r="W127" s="74" t="s">
        <v>11</v>
      </c>
      <c r="X127" s="74" t="s">
        <v>11</v>
      </c>
      <c r="Y127" s="74" t="s">
        <v>11</v>
      </c>
      <c r="Z127" s="74" t="s">
        <v>11</v>
      </c>
      <c r="AA127" s="33"/>
      <c r="AB127" s="47"/>
      <c r="AC127" s="74" t="s">
        <v>10</v>
      </c>
      <c r="AD127" s="74" t="s">
        <v>10</v>
      </c>
      <c r="AE127" s="74" t="s">
        <v>12</v>
      </c>
      <c r="AF127" s="33"/>
      <c r="AG127" s="33">
        <v>5</v>
      </c>
      <c r="AH127" s="33">
        <v>6</v>
      </c>
      <c r="AI127" s="33">
        <v>5</v>
      </c>
      <c r="AJ127" s="48">
        <v>0</v>
      </c>
      <c r="AK127" s="49">
        <v>0</v>
      </c>
      <c r="AL127" s="49">
        <v>0</v>
      </c>
    </row>
    <row r="128" spans="1:38" x14ac:dyDescent="0.25">
      <c r="A128" s="35" t="s">
        <v>235</v>
      </c>
      <c r="B128" s="87"/>
      <c r="C128" s="87"/>
      <c r="D128" s="84"/>
      <c r="E128" s="84"/>
      <c r="F128" s="33"/>
      <c r="G128" s="47"/>
      <c r="H128" s="33"/>
      <c r="I128" s="33"/>
      <c r="J128" s="33"/>
      <c r="K128" s="74" t="s">
        <v>10</v>
      </c>
      <c r="L128" s="74" t="s">
        <v>12</v>
      </c>
      <c r="M128" s="74" t="s">
        <v>12</v>
      </c>
      <c r="N128" s="47"/>
      <c r="O128" s="74" t="s">
        <v>11</v>
      </c>
      <c r="P128" s="74" t="s">
        <v>11</v>
      </c>
      <c r="Q128" s="74" t="s">
        <v>11</v>
      </c>
      <c r="R128" s="74" t="s">
        <v>11</v>
      </c>
      <c r="S128" s="74" t="s">
        <v>11</v>
      </c>
      <c r="T128" s="33"/>
      <c r="U128" s="47"/>
      <c r="V128" s="74" t="s">
        <v>10</v>
      </c>
      <c r="W128" s="74" t="s">
        <v>10</v>
      </c>
      <c r="X128" s="74" t="s">
        <v>12</v>
      </c>
      <c r="Y128" s="74" t="s">
        <v>12</v>
      </c>
      <c r="Z128" s="33"/>
      <c r="AA128" s="33"/>
      <c r="AB128" s="47"/>
      <c r="AC128" s="74" t="s">
        <v>10</v>
      </c>
      <c r="AD128" s="74" t="s">
        <v>10</v>
      </c>
      <c r="AE128" s="74" t="s">
        <v>12</v>
      </c>
      <c r="AF128" s="33"/>
      <c r="AG128" s="33">
        <v>5</v>
      </c>
      <c r="AH128" s="33">
        <v>5</v>
      </c>
      <c r="AI128" s="33">
        <v>5</v>
      </c>
      <c r="AJ128" s="48">
        <v>1</v>
      </c>
      <c r="AK128" s="49">
        <v>0</v>
      </c>
      <c r="AL128" s="49">
        <v>0</v>
      </c>
    </row>
    <row r="129" spans="1:38" x14ac:dyDescent="0.25">
      <c r="A129" s="35" t="s">
        <v>228</v>
      </c>
      <c r="B129" s="84"/>
      <c r="C129" s="84"/>
      <c r="D129" s="74" t="s">
        <v>10</v>
      </c>
      <c r="E129" s="74" t="s">
        <v>12</v>
      </c>
      <c r="F129" s="74" t="s">
        <v>12</v>
      </c>
      <c r="G129" s="84"/>
      <c r="H129" s="74" t="s">
        <v>11</v>
      </c>
      <c r="I129" s="74" t="s">
        <v>11</v>
      </c>
      <c r="J129" s="74" t="s">
        <v>12</v>
      </c>
      <c r="K129" s="74" t="s">
        <v>11</v>
      </c>
      <c r="L129" s="74" t="s">
        <v>11</v>
      </c>
      <c r="M129" s="33"/>
      <c r="N129" s="47"/>
      <c r="O129" s="74" t="s">
        <v>10</v>
      </c>
      <c r="P129" s="74" t="s">
        <v>10</v>
      </c>
      <c r="Q129" s="74" t="s">
        <v>12</v>
      </c>
      <c r="R129" s="74" t="s">
        <v>12</v>
      </c>
      <c r="S129" s="33"/>
      <c r="T129" s="74" t="s">
        <v>12</v>
      </c>
      <c r="U129" s="47"/>
      <c r="V129" s="74" t="s">
        <v>10</v>
      </c>
      <c r="W129" s="74" t="s">
        <v>10</v>
      </c>
      <c r="X129" s="74" t="s">
        <v>12</v>
      </c>
      <c r="Y129" s="74" t="s">
        <v>12</v>
      </c>
      <c r="Z129" s="33"/>
      <c r="AA129" s="33"/>
      <c r="AB129" s="47"/>
      <c r="AC129" s="74" t="s">
        <v>12</v>
      </c>
      <c r="AD129" s="74" t="s">
        <v>12</v>
      </c>
      <c r="AE129" s="74" t="s">
        <v>10</v>
      </c>
      <c r="AF129" s="33"/>
      <c r="AG129" s="33">
        <v>4</v>
      </c>
      <c r="AH129" s="33">
        <v>6</v>
      </c>
      <c r="AI129" s="33">
        <v>10</v>
      </c>
      <c r="AJ129" s="48">
        <v>2</v>
      </c>
      <c r="AK129" s="49">
        <v>0</v>
      </c>
      <c r="AL129" s="49">
        <v>0</v>
      </c>
    </row>
    <row r="130" spans="1:38" x14ac:dyDescent="0.25">
      <c r="A130" s="35" t="s">
        <v>234</v>
      </c>
      <c r="B130" s="74" t="s">
        <v>11</v>
      </c>
      <c r="C130" s="74" t="s">
        <v>12</v>
      </c>
      <c r="D130" s="74" t="s">
        <v>11</v>
      </c>
      <c r="E130" s="74" t="s">
        <v>11</v>
      </c>
      <c r="F130" s="33"/>
      <c r="G130" s="47"/>
      <c r="H130" s="74" t="s">
        <v>10</v>
      </c>
      <c r="I130" s="74" t="s">
        <v>12</v>
      </c>
      <c r="J130" s="74" t="s">
        <v>12</v>
      </c>
      <c r="K130" s="74" t="s">
        <v>12</v>
      </c>
      <c r="L130" s="33"/>
      <c r="M130" s="74" t="s">
        <v>11</v>
      </c>
      <c r="N130" s="47"/>
      <c r="O130" s="74" t="s">
        <v>10</v>
      </c>
      <c r="P130" s="74" t="s">
        <v>10</v>
      </c>
      <c r="Q130" s="74" t="s">
        <v>12</v>
      </c>
      <c r="R130" s="74" t="s">
        <v>12</v>
      </c>
      <c r="S130" s="33"/>
      <c r="T130" s="33"/>
      <c r="U130" s="73" t="s">
        <v>12</v>
      </c>
      <c r="V130" s="74" t="s">
        <v>12</v>
      </c>
      <c r="W130" s="74" t="s">
        <v>12</v>
      </c>
      <c r="X130" s="74" t="s">
        <v>10</v>
      </c>
      <c r="Y130" s="33"/>
      <c r="Z130" s="33"/>
      <c r="AA130" s="33"/>
      <c r="AB130" s="47"/>
      <c r="AC130" s="33"/>
      <c r="AD130" s="33"/>
      <c r="AE130" s="33"/>
      <c r="AF130" s="33"/>
      <c r="AG130" s="33">
        <v>4</v>
      </c>
      <c r="AH130" s="33">
        <v>4</v>
      </c>
      <c r="AI130" s="33">
        <v>9</v>
      </c>
      <c r="AJ130" s="48">
        <v>1</v>
      </c>
      <c r="AK130" s="49">
        <v>1</v>
      </c>
      <c r="AL130" s="49">
        <v>0</v>
      </c>
    </row>
    <row r="131" spans="1:38" x14ac:dyDescent="0.25">
      <c r="A131" s="35" t="s">
        <v>230</v>
      </c>
      <c r="B131" s="74" t="s">
        <v>12</v>
      </c>
      <c r="C131" s="74" t="s">
        <v>12</v>
      </c>
      <c r="D131" s="74" t="s">
        <v>12</v>
      </c>
      <c r="E131" s="33"/>
      <c r="F131" s="33"/>
      <c r="G131" s="47"/>
      <c r="H131" s="74" t="s">
        <v>10</v>
      </c>
      <c r="I131" s="74" t="s">
        <v>10</v>
      </c>
      <c r="J131" s="74" t="s">
        <v>12</v>
      </c>
      <c r="K131" s="74" t="s">
        <v>12</v>
      </c>
      <c r="L131" s="33"/>
      <c r="M131" s="33"/>
      <c r="N131" s="73" t="s">
        <v>12</v>
      </c>
      <c r="O131" s="74" t="s">
        <v>12</v>
      </c>
      <c r="P131" s="74" t="s">
        <v>12</v>
      </c>
      <c r="Q131" s="74" t="s">
        <v>10</v>
      </c>
      <c r="R131" s="33"/>
      <c r="S131" s="33"/>
      <c r="T131" s="33"/>
      <c r="U131" s="47"/>
      <c r="V131" s="33"/>
      <c r="W131" s="33"/>
      <c r="X131" s="33"/>
      <c r="Y131" s="33"/>
      <c r="Z131" s="74" t="s">
        <v>10</v>
      </c>
      <c r="AA131" s="74" t="s">
        <v>12</v>
      </c>
      <c r="AB131" s="73" t="s">
        <v>12</v>
      </c>
      <c r="AC131" s="33"/>
      <c r="AD131" s="33"/>
      <c r="AE131" s="33"/>
      <c r="AF131" s="33"/>
      <c r="AG131" s="33">
        <v>0</v>
      </c>
      <c r="AH131" s="33">
        <v>4</v>
      </c>
      <c r="AI131" s="33">
        <v>10</v>
      </c>
      <c r="AJ131" s="48">
        <v>1</v>
      </c>
      <c r="AK131" s="49">
        <v>2</v>
      </c>
      <c r="AL131" s="49">
        <v>0</v>
      </c>
    </row>
    <row r="132" spans="1:38" x14ac:dyDescent="0.25">
      <c r="A132" s="35" t="s">
        <v>227</v>
      </c>
      <c r="B132" s="74" t="s">
        <v>10</v>
      </c>
      <c r="C132" s="74" t="s">
        <v>12</v>
      </c>
      <c r="D132" s="74" t="s">
        <v>12</v>
      </c>
      <c r="E132" s="33"/>
      <c r="F132" s="33"/>
      <c r="G132" s="47"/>
      <c r="H132" s="74" t="s">
        <v>12</v>
      </c>
      <c r="I132" s="87"/>
      <c r="J132" s="87"/>
      <c r="K132" s="84"/>
      <c r="L132" s="84"/>
      <c r="M132" s="84"/>
      <c r="N132" s="84"/>
      <c r="O132" s="84"/>
      <c r="P132" s="84"/>
      <c r="Q132" s="84"/>
      <c r="R132" s="84"/>
      <c r="S132" s="87"/>
      <c r="T132" s="87"/>
      <c r="U132" s="87"/>
      <c r="V132" s="84"/>
      <c r="W132" s="84"/>
      <c r="X132" s="84"/>
      <c r="Y132" s="33"/>
      <c r="Z132" s="74" t="s">
        <v>10</v>
      </c>
      <c r="AA132" s="74" t="s">
        <v>12</v>
      </c>
      <c r="AB132" s="73" t="s">
        <v>12</v>
      </c>
      <c r="AC132" s="33"/>
      <c r="AD132" s="33"/>
      <c r="AE132" s="33"/>
      <c r="AF132" s="33"/>
      <c r="AG132" s="33">
        <v>0</v>
      </c>
      <c r="AH132" s="33">
        <v>2</v>
      </c>
      <c r="AI132" s="33">
        <v>5</v>
      </c>
      <c r="AJ132" s="48">
        <v>1</v>
      </c>
      <c r="AK132" s="49">
        <v>1</v>
      </c>
      <c r="AL132" s="49">
        <v>0</v>
      </c>
    </row>
    <row r="133" spans="1:38" x14ac:dyDescent="0.25">
      <c r="A133" s="35" t="s">
        <v>213</v>
      </c>
      <c r="B133" s="87"/>
      <c r="C133" s="87"/>
      <c r="D133" s="84"/>
      <c r="E133" s="84"/>
      <c r="F133" s="84"/>
      <c r="G133" s="84"/>
      <c r="H133" s="84"/>
      <c r="I133" s="84"/>
      <c r="J133" s="84"/>
      <c r="K133" s="84"/>
      <c r="L133" s="87"/>
      <c r="M133" s="87"/>
      <c r="N133" s="87"/>
      <c r="O133" s="84"/>
      <c r="P133" s="84"/>
      <c r="Q133" s="84"/>
      <c r="R133" s="84"/>
      <c r="S133" s="74" t="s">
        <v>10</v>
      </c>
      <c r="T133" s="74" t="s">
        <v>12</v>
      </c>
      <c r="U133" s="73" t="s">
        <v>12</v>
      </c>
      <c r="V133" s="90" t="s">
        <v>14</v>
      </c>
      <c r="W133" s="33"/>
      <c r="X133" s="33"/>
      <c r="Y133" s="74" t="s">
        <v>10</v>
      </c>
      <c r="Z133" s="74" t="s">
        <v>12</v>
      </c>
      <c r="AA133" s="74" t="s">
        <v>12</v>
      </c>
      <c r="AB133" s="47"/>
      <c r="AC133" s="74" t="s">
        <v>11</v>
      </c>
      <c r="AD133" s="74" t="s">
        <v>11</v>
      </c>
      <c r="AE133" s="74" t="s">
        <v>11</v>
      </c>
      <c r="AF133" s="33"/>
      <c r="AG133" s="33">
        <v>3</v>
      </c>
      <c r="AH133" s="33">
        <v>2</v>
      </c>
      <c r="AI133" s="33">
        <v>4</v>
      </c>
      <c r="AJ133" s="48">
        <v>2</v>
      </c>
      <c r="AK133" s="49">
        <v>1</v>
      </c>
      <c r="AL133" s="49">
        <v>0</v>
      </c>
    </row>
    <row r="134" spans="1:38" x14ac:dyDescent="0.25">
      <c r="A134" s="53" t="s">
        <v>224</v>
      </c>
      <c r="B134" s="54">
        <v>6</v>
      </c>
      <c r="C134" s="54">
        <v>4</v>
      </c>
      <c r="D134" s="54">
        <v>6</v>
      </c>
      <c r="E134" s="54">
        <v>6</v>
      </c>
      <c r="F134" s="54">
        <v>4</v>
      </c>
      <c r="G134" s="39">
        <v>2</v>
      </c>
      <c r="H134" s="54">
        <v>6</v>
      </c>
      <c r="I134" s="54">
        <v>5</v>
      </c>
      <c r="J134" s="54">
        <v>5</v>
      </c>
      <c r="K134" s="54">
        <v>6</v>
      </c>
      <c r="L134" s="54">
        <v>6</v>
      </c>
      <c r="M134" s="54">
        <v>5</v>
      </c>
      <c r="N134" s="39">
        <v>2</v>
      </c>
      <c r="O134" s="54">
        <v>6</v>
      </c>
      <c r="P134" s="54">
        <v>6</v>
      </c>
      <c r="Q134" s="54">
        <v>6</v>
      </c>
      <c r="R134" s="54">
        <v>6</v>
      </c>
      <c r="S134" s="54">
        <v>5</v>
      </c>
      <c r="T134" s="54">
        <v>4</v>
      </c>
      <c r="U134" s="39">
        <v>2</v>
      </c>
      <c r="V134" s="54">
        <v>6</v>
      </c>
      <c r="W134" s="54">
        <v>6</v>
      </c>
      <c r="X134" s="54">
        <v>6</v>
      </c>
      <c r="Y134" s="54">
        <v>6</v>
      </c>
      <c r="Z134" s="54">
        <v>6</v>
      </c>
      <c r="AA134" s="54">
        <v>4</v>
      </c>
      <c r="AB134" s="39">
        <v>2</v>
      </c>
      <c r="AC134" s="54">
        <v>6</v>
      </c>
      <c r="AD134" s="54">
        <v>6</v>
      </c>
      <c r="AE134" s="54">
        <v>6</v>
      </c>
    </row>
    <row r="135" spans="1:38" x14ac:dyDescent="0.25">
      <c r="B135" s="138" t="s">
        <v>223</v>
      </c>
      <c r="C135" s="138"/>
      <c r="D135" s="138"/>
      <c r="E135" s="138"/>
      <c r="F135" s="138"/>
      <c r="G135" s="138"/>
      <c r="H135" s="138"/>
      <c r="I135" s="138"/>
      <c r="J135" s="138"/>
      <c r="K135" s="138"/>
      <c r="L135" s="138"/>
      <c r="M135" s="138"/>
      <c r="N135" s="138"/>
      <c r="O135" s="138"/>
      <c r="P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D135" s="138"/>
      <c r="AE135" s="138"/>
    </row>
    <row r="136" spans="1:38" ht="17.25" x14ac:dyDescent="0.3">
      <c r="A136" s="26" t="s">
        <v>192</v>
      </c>
    </row>
    <row r="137" spans="1:38" ht="30" x14ac:dyDescent="0.25">
      <c r="A137" s="52" t="s">
        <v>13</v>
      </c>
      <c r="B137" s="51" t="s">
        <v>76</v>
      </c>
      <c r="C137" s="51" t="s">
        <v>47</v>
      </c>
      <c r="D137" s="51" t="s">
        <v>134</v>
      </c>
      <c r="E137" s="51" t="s">
        <v>135</v>
      </c>
      <c r="F137" s="51" t="s">
        <v>136</v>
      </c>
      <c r="G137" s="50" t="s">
        <v>137</v>
      </c>
      <c r="H137" s="51" t="s">
        <v>138</v>
      </c>
      <c r="I137" s="51" t="s">
        <v>83</v>
      </c>
      <c r="J137" s="51" t="s">
        <v>54</v>
      </c>
      <c r="K137" s="51" t="s">
        <v>139</v>
      </c>
      <c r="L137" s="51" t="s">
        <v>140</v>
      </c>
      <c r="M137" s="51" t="s">
        <v>141</v>
      </c>
      <c r="N137" s="50" t="s">
        <v>142</v>
      </c>
      <c r="O137" s="51" t="s">
        <v>143</v>
      </c>
      <c r="P137" s="51" t="s">
        <v>90</v>
      </c>
      <c r="Q137" s="51" t="s">
        <v>61</v>
      </c>
      <c r="R137" s="51" t="s">
        <v>144</v>
      </c>
      <c r="S137" s="51" t="s">
        <v>145</v>
      </c>
      <c r="T137" s="51" t="s">
        <v>146</v>
      </c>
      <c r="U137" s="50" t="s">
        <v>147</v>
      </c>
      <c r="V137" s="51" t="s">
        <v>148</v>
      </c>
      <c r="W137" s="51" t="s">
        <v>97</v>
      </c>
      <c r="X137" s="51" t="s">
        <v>68</v>
      </c>
      <c r="Y137" s="51" t="s">
        <v>149</v>
      </c>
      <c r="Z137" s="51" t="s">
        <v>150</v>
      </c>
      <c r="AA137" s="51" t="s">
        <v>151</v>
      </c>
      <c r="AB137" s="50" t="s">
        <v>152</v>
      </c>
      <c r="AC137" s="51" t="s">
        <v>153</v>
      </c>
      <c r="AD137" s="51" t="s">
        <v>104</v>
      </c>
      <c r="AE137" s="51" t="s">
        <v>75</v>
      </c>
    </row>
    <row r="138" spans="1:38" x14ac:dyDescent="0.25">
      <c r="A138" s="35" t="s">
        <v>231</v>
      </c>
      <c r="B138" s="33"/>
      <c r="C138" s="33"/>
      <c r="D138" s="33"/>
      <c r="E138" s="74" t="s">
        <v>211</v>
      </c>
      <c r="F138" s="33"/>
      <c r="G138" s="47"/>
      <c r="H138" s="33"/>
      <c r="I138" s="33"/>
      <c r="J138" s="33"/>
      <c r="K138" s="33"/>
      <c r="L138" s="74" t="s">
        <v>211</v>
      </c>
      <c r="M138" s="33"/>
      <c r="N138" s="47"/>
      <c r="O138" s="33"/>
      <c r="P138" s="33"/>
      <c r="Q138" s="33"/>
      <c r="R138" s="74" t="s">
        <v>211</v>
      </c>
      <c r="S138" s="33"/>
      <c r="T138" s="33"/>
      <c r="U138" s="47"/>
      <c r="V138" s="33"/>
      <c r="W138" s="74" t="s">
        <v>211</v>
      </c>
      <c r="X138" s="33"/>
      <c r="Y138" s="33"/>
      <c r="Z138" s="33"/>
      <c r="AA138" s="33"/>
      <c r="AB138" s="47"/>
      <c r="AC138" s="33"/>
      <c r="AD138" s="33"/>
      <c r="AE138" s="33"/>
    </row>
    <row r="139" spans="1:38" x14ac:dyDescent="0.25">
      <c r="A139" s="35" t="s">
        <v>233</v>
      </c>
      <c r="B139" s="33"/>
      <c r="C139" s="33"/>
      <c r="D139" s="33"/>
      <c r="E139" s="74" t="s">
        <v>211</v>
      </c>
      <c r="F139" s="33"/>
      <c r="G139" s="47"/>
      <c r="H139" s="33"/>
      <c r="I139" s="33"/>
      <c r="J139" s="33"/>
      <c r="K139" s="74" t="s">
        <v>211</v>
      </c>
      <c r="L139" s="33"/>
      <c r="M139" s="33"/>
      <c r="N139" s="47"/>
      <c r="O139" s="33"/>
      <c r="P139" s="74" t="s">
        <v>211</v>
      </c>
      <c r="Q139" s="33"/>
      <c r="R139" s="33"/>
      <c r="S139" s="33"/>
      <c r="T139" s="33"/>
      <c r="U139" s="47"/>
      <c r="V139" s="33"/>
      <c r="W139" s="33"/>
      <c r="X139" s="33"/>
      <c r="Y139" s="33"/>
      <c r="Z139" s="33"/>
      <c r="AA139" s="33"/>
      <c r="AB139" s="47"/>
      <c r="AC139" s="33"/>
      <c r="AD139" s="33"/>
      <c r="AE139" s="74" t="s">
        <v>211</v>
      </c>
    </row>
    <row r="140" spans="1:38" x14ac:dyDescent="0.25">
      <c r="A140" s="35" t="s">
        <v>226</v>
      </c>
      <c r="B140" s="33"/>
      <c r="C140" s="33"/>
      <c r="D140" s="74" t="s">
        <v>211</v>
      </c>
      <c r="E140" s="33"/>
      <c r="F140" s="33"/>
      <c r="G140" s="47"/>
      <c r="H140" s="33"/>
      <c r="I140" s="74" t="s">
        <v>211</v>
      </c>
      <c r="J140" s="33"/>
      <c r="K140" s="33"/>
      <c r="L140" s="33"/>
      <c r="M140" s="33"/>
      <c r="N140" s="47"/>
      <c r="O140" s="33"/>
      <c r="P140" s="33"/>
      <c r="Q140" s="33"/>
      <c r="R140" s="33"/>
      <c r="S140" s="33"/>
      <c r="T140" s="33"/>
      <c r="U140" s="47"/>
      <c r="V140" s="33"/>
      <c r="W140" s="33"/>
      <c r="X140" s="74" t="s">
        <v>211</v>
      </c>
      <c r="Y140" s="33"/>
      <c r="Z140" s="33"/>
      <c r="AA140" s="33"/>
      <c r="AB140" s="47"/>
      <c r="AC140" s="33"/>
      <c r="AD140" s="33"/>
      <c r="AE140" s="33"/>
    </row>
    <row r="141" spans="1:38" x14ac:dyDescent="0.25">
      <c r="A141" s="35" t="s">
        <v>232</v>
      </c>
      <c r="B141" s="74" t="s">
        <v>211</v>
      </c>
      <c r="C141" s="33"/>
      <c r="D141" s="33"/>
      <c r="E141" s="33"/>
      <c r="F141" s="33"/>
      <c r="G141" s="47"/>
      <c r="H141" s="33"/>
      <c r="I141" s="33"/>
      <c r="J141" s="33"/>
      <c r="K141" s="33"/>
      <c r="L141" s="33"/>
      <c r="M141" s="33"/>
      <c r="N141" s="47"/>
      <c r="O141" s="33"/>
      <c r="P141" s="33"/>
      <c r="Q141" s="74" t="s">
        <v>211</v>
      </c>
      <c r="R141" s="33"/>
      <c r="S141" s="33"/>
      <c r="T141" s="33"/>
      <c r="U141" s="47"/>
      <c r="V141" s="33"/>
      <c r="W141" s="33"/>
      <c r="X141" s="33"/>
      <c r="Y141" s="74" t="s">
        <v>211</v>
      </c>
      <c r="Z141" s="33"/>
      <c r="AA141" s="33"/>
      <c r="AB141" s="47"/>
      <c r="AC141" s="74" t="s">
        <v>212</v>
      </c>
      <c r="AD141" s="33"/>
      <c r="AE141" s="33"/>
    </row>
    <row r="142" spans="1:38" x14ac:dyDescent="0.25">
      <c r="A142" s="35" t="s">
        <v>229</v>
      </c>
      <c r="B142" s="33"/>
      <c r="C142" s="33"/>
      <c r="D142" s="33"/>
      <c r="E142" s="33"/>
      <c r="F142" s="33"/>
      <c r="G142" s="47"/>
      <c r="H142" s="33"/>
      <c r="I142" s="33"/>
      <c r="J142" s="74" t="s">
        <v>211</v>
      </c>
      <c r="K142" s="33"/>
      <c r="L142" s="33"/>
      <c r="M142" s="33"/>
      <c r="N142" s="47"/>
      <c r="O142" s="33"/>
      <c r="P142" s="33"/>
      <c r="Q142" s="33"/>
      <c r="R142" s="74" t="s">
        <v>211</v>
      </c>
      <c r="S142" s="33"/>
      <c r="T142" s="33"/>
      <c r="U142" s="47"/>
      <c r="V142" s="74" t="s">
        <v>212</v>
      </c>
      <c r="W142" s="33"/>
      <c r="X142" s="33"/>
      <c r="Y142" s="33"/>
      <c r="Z142" s="33"/>
      <c r="AA142" s="33"/>
      <c r="AB142" s="47"/>
      <c r="AC142" s="33"/>
      <c r="AD142" s="33"/>
      <c r="AE142" s="33"/>
    </row>
    <row r="143" spans="1:38" x14ac:dyDescent="0.25">
      <c r="A143" s="35" t="s">
        <v>235</v>
      </c>
      <c r="B143" s="33"/>
      <c r="C143" s="74" t="s">
        <v>211</v>
      </c>
      <c r="D143" s="33"/>
      <c r="E143" s="33"/>
      <c r="F143" s="33"/>
      <c r="G143" s="47"/>
      <c r="H143" s="33"/>
      <c r="I143" s="33"/>
      <c r="J143" s="33"/>
      <c r="K143" s="74" t="s">
        <v>211</v>
      </c>
      <c r="L143" s="33"/>
      <c r="M143" s="33"/>
      <c r="N143" s="47"/>
      <c r="O143" s="74" t="s">
        <v>212</v>
      </c>
      <c r="P143" s="33"/>
      <c r="Q143" s="33"/>
      <c r="R143" s="33"/>
      <c r="S143" s="33"/>
      <c r="T143" s="33"/>
      <c r="U143" s="47"/>
      <c r="V143" s="33"/>
      <c r="W143" s="33"/>
      <c r="X143" s="33"/>
      <c r="Y143" s="33"/>
      <c r="Z143" s="33"/>
      <c r="AA143" s="33"/>
      <c r="AB143" s="47"/>
      <c r="AC143" s="33"/>
      <c r="AD143" s="33"/>
      <c r="AE143" s="33"/>
    </row>
    <row r="144" spans="1:38" x14ac:dyDescent="0.25">
      <c r="A144" s="35" t="s">
        <v>228</v>
      </c>
      <c r="B144" s="33"/>
      <c r="C144" s="33"/>
      <c r="D144" s="74" t="s">
        <v>211</v>
      </c>
      <c r="E144" s="33"/>
      <c r="F144" s="33"/>
      <c r="G144" s="47"/>
      <c r="H144" s="74" t="s">
        <v>212</v>
      </c>
      <c r="I144" s="33"/>
      <c r="J144" s="33"/>
      <c r="K144" s="33"/>
      <c r="L144" s="33"/>
      <c r="M144" s="33"/>
      <c r="N144" s="47"/>
      <c r="O144" s="33"/>
      <c r="P144" s="33"/>
      <c r="Q144" s="33"/>
      <c r="R144" s="33"/>
      <c r="S144" s="33"/>
      <c r="T144" s="33"/>
      <c r="U144" s="47"/>
      <c r="V144" s="33"/>
      <c r="W144" s="33"/>
      <c r="X144" s="33"/>
      <c r="Y144" s="33"/>
      <c r="Z144" s="33"/>
      <c r="AA144" s="33"/>
      <c r="AB144" s="47"/>
      <c r="AC144" s="33"/>
      <c r="AD144" s="33"/>
      <c r="AE144" s="74" t="s">
        <v>211</v>
      </c>
    </row>
    <row r="145" spans="1:39" x14ac:dyDescent="0.25">
      <c r="A145" s="35" t="s">
        <v>234</v>
      </c>
      <c r="B145" s="33"/>
      <c r="C145" s="33"/>
      <c r="D145" s="33"/>
      <c r="E145" s="33"/>
      <c r="F145" s="33"/>
      <c r="G145" s="47"/>
      <c r="H145" s="33"/>
      <c r="I145" s="33"/>
      <c r="J145" s="33"/>
      <c r="K145" s="33"/>
      <c r="L145" s="33"/>
      <c r="M145" s="33"/>
      <c r="N145" s="47"/>
      <c r="O145" s="33"/>
      <c r="P145" s="33"/>
      <c r="Q145" s="33"/>
      <c r="R145" s="33"/>
      <c r="S145" s="33"/>
      <c r="T145" s="33"/>
      <c r="U145" s="47"/>
      <c r="V145" s="33"/>
      <c r="W145" s="33"/>
      <c r="X145" s="74" t="s">
        <v>211</v>
      </c>
      <c r="Y145" s="33"/>
      <c r="Z145" s="33"/>
      <c r="AA145" s="33"/>
      <c r="AB145" s="47"/>
      <c r="AC145" s="33"/>
      <c r="AD145" s="33"/>
      <c r="AE145" s="33"/>
    </row>
    <row r="146" spans="1:39" x14ac:dyDescent="0.25">
      <c r="A146" s="35" t="s">
        <v>230</v>
      </c>
      <c r="B146" s="33"/>
      <c r="C146" s="33"/>
      <c r="D146" s="33"/>
      <c r="E146" s="33"/>
      <c r="F146" s="33"/>
      <c r="G146" s="47"/>
      <c r="H146" s="33"/>
      <c r="I146" s="33"/>
      <c r="J146" s="33"/>
      <c r="K146" s="33"/>
      <c r="L146" s="33"/>
      <c r="M146" s="33"/>
      <c r="N146" s="47"/>
      <c r="O146" s="33"/>
      <c r="P146" s="33"/>
      <c r="Q146" s="74" t="s">
        <v>211</v>
      </c>
      <c r="R146" s="33"/>
      <c r="S146" s="33"/>
      <c r="T146" s="33"/>
      <c r="U146" s="47"/>
      <c r="V146" s="33"/>
      <c r="W146" s="33"/>
      <c r="X146" s="33"/>
      <c r="Y146" s="33"/>
      <c r="Z146" s="74" t="s">
        <v>211</v>
      </c>
      <c r="AA146" s="33"/>
      <c r="AB146" s="47"/>
      <c r="AC146" s="33"/>
      <c r="AD146" s="33"/>
      <c r="AE146" s="33"/>
    </row>
    <row r="147" spans="1:39" x14ac:dyDescent="0.25">
      <c r="A147" s="35" t="s">
        <v>227</v>
      </c>
      <c r="B147" s="33"/>
      <c r="C147" s="33"/>
      <c r="D147" s="33"/>
      <c r="E147" s="33"/>
      <c r="F147" s="33"/>
      <c r="G147" s="47"/>
      <c r="H147" s="33"/>
      <c r="I147" s="33"/>
      <c r="J147" s="74" t="s">
        <v>211</v>
      </c>
      <c r="K147" s="33"/>
      <c r="L147" s="33"/>
      <c r="M147" s="33"/>
      <c r="N147" s="47"/>
      <c r="O147" s="33"/>
      <c r="P147" s="33"/>
      <c r="Q147" s="33"/>
      <c r="R147" s="33"/>
      <c r="S147" s="74" t="s">
        <v>211</v>
      </c>
      <c r="T147" s="33"/>
      <c r="U147" s="47"/>
      <c r="V147" s="33"/>
      <c r="W147" s="33"/>
      <c r="X147" s="33"/>
      <c r="Y147" s="33"/>
      <c r="Z147" s="74" t="s">
        <v>211</v>
      </c>
      <c r="AA147" s="33"/>
      <c r="AB147" s="47"/>
      <c r="AC147" s="33"/>
      <c r="AD147" s="33"/>
      <c r="AE147" s="33"/>
    </row>
    <row r="148" spans="1:39" x14ac:dyDescent="0.25">
      <c r="A148" s="35" t="s">
        <v>213</v>
      </c>
      <c r="B148" s="33"/>
      <c r="C148" s="74" t="s">
        <v>211</v>
      </c>
      <c r="D148" s="33"/>
      <c r="E148" s="33"/>
      <c r="F148" s="33"/>
      <c r="G148" s="47"/>
      <c r="H148" s="33"/>
      <c r="I148" s="33"/>
      <c r="J148" s="33"/>
      <c r="K148" s="33"/>
      <c r="L148" s="74" t="s">
        <v>211</v>
      </c>
      <c r="M148" s="33"/>
      <c r="N148" s="47"/>
      <c r="O148" s="33"/>
      <c r="P148" s="33"/>
      <c r="Q148" s="33"/>
      <c r="R148" s="33"/>
      <c r="S148" s="74" t="s">
        <v>211</v>
      </c>
      <c r="T148" s="33"/>
      <c r="U148" s="47"/>
      <c r="V148" s="33"/>
      <c r="W148" s="33"/>
      <c r="X148" s="33"/>
      <c r="Y148" s="74" t="s">
        <v>211</v>
      </c>
      <c r="Z148" s="33"/>
      <c r="AA148" s="33"/>
      <c r="AB148" s="47"/>
      <c r="AC148" s="33"/>
      <c r="AD148" s="74" t="s">
        <v>211</v>
      </c>
      <c r="AE148" s="33"/>
    </row>
    <row r="151" spans="1:39" ht="18.75" x14ac:dyDescent="0.3">
      <c r="A151" s="22" t="s">
        <v>209</v>
      </c>
    </row>
    <row r="152" spans="1:39" ht="30" x14ac:dyDescent="0.25">
      <c r="A152" s="34" t="s">
        <v>13</v>
      </c>
      <c r="B152" s="38" t="s">
        <v>154</v>
      </c>
      <c r="C152" s="38" t="s">
        <v>155</v>
      </c>
      <c r="D152" s="38" t="s">
        <v>156</v>
      </c>
      <c r="E152" s="37" t="s">
        <v>157</v>
      </c>
      <c r="F152" s="38" t="s">
        <v>158</v>
      </c>
      <c r="G152" s="38" t="s">
        <v>20</v>
      </c>
      <c r="H152" s="38" t="s">
        <v>82</v>
      </c>
      <c r="I152" s="38" t="s">
        <v>159</v>
      </c>
      <c r="J152" s="38" t="s">
        <v>160</v>
      </c>
      <c r="K152" s="38" t="s">
        <v>161</v>
      </c>
      <c r="L152" s="37" t="s">
        <v>162</v>
      </c>
      <c r="M152" s="38" t="s">
        <v>163</v>
      </c>
      <c r="N152" s="38" t="s">
        <v>27</v>
      </c>
      <c r="O152" s="38" t="s">
        <v>89</v>
      </c>
      <c r="P152" s="38" t="s">
        <v>164</v>
      </c>
      <c r="Q152" s="38" t="s">
        <v>165</v>
      </c>
      <c r="R152" s="38" t="s">
        <v>166</v>
      </c>
      <c r="S152" s="37" t="s">
        <v>167</v>
      </c>
      <c r="T152" s="38" t="s">
        <v>168</v>
      </c>
      <c r="U152" s="38" t="s">
        <v>34</v>
      </c>
      <c r="V152" s="38" t="s">
        <v>96</v>
      </c>
      <c r="W152" s="38" t="s">
        <v>169</v>
      </c>
      <c r="X152" s="38" t="s">
        <v>170</v>
      </c>
      <c r="Y152" s="38" t="s">
        <v>171</v>
      </c>
      <c r="Z152" s="37" t="s">
        <v>172</v>
      </c>
      <c r="AA152" s="38" t="s">
        <v>173</v>
      </c>
      <c r="AB152" s="38" t="s">
        <v>41</v>
      </c>
      <c r="AC152" s="38" t="s">
        <v>103</v>
      </c>
      <c r="AD152" s="38" t="s">
        <v>174</v>
      </c>
      <c r="AE152" s="38" t="s">
        <v>175</v>
      </c>
      <c r="AF152" s="38" t="s">
        <v>176</v>
      </c>
      <c r="AG152" s="33"/>
      <c r="AH152" s="73" t="s">
        <v>11</v>
      </c>
      <c r="AI152" s="73" t="s">
        <v>10</v>
      </c>
      <c r="AJ152" s="73" t="s">
        <v>12</v>
      </c>
      <c r="AK152" s="43" t="s">
        <v>221</v>
      </c>
      <c r="AL152" s="44" t="s">
        <v>184</v>
      </c>
      <c r="AM152" s="72" t="s">
        <v>185</v>
      </c>
    </row>
    <row r="153" spans="1:39" ht="15.75" x14ac:dyDescent="0.25">
      <c r="A153" s="35" t="s">
        <v>231</v>
      </c>
      <c r="B153" s="46" t="s">
        <v>14</v>
      </c>
      <c r="C153" s="46" t="s">
        <v>14</v>
      </c>
      <c r="D153" s="89" t="s">
        <v>12</v>
      </c>
      <c r="E153" s="45" t="s">
        <v>14</v>
      </c>
      <c r="F153" s="74" t="s">
        <v>12</v>
      </c>
      <c r="G153" s="74" t="s">
        <v>12</v>
      </c>
      <c r="H153" s="74" t="s">
        <v>10</v>
      </c>
      <c r="I153" s="33"/>
      <c r="J153" s="33"/>
      <c r="K153" s="33"/>
      <c r="L153" s="47"/>
      <c r="M153" s="33"/>
      <c r="N153" s="33"/>
      <c r="O153" s="33"/>
      <c r="P153" s="74" t="s">
        <v>10</v>
      </c>
      <c r="Q153" s="74" t="s">
        <v>12</v>
      </c>
      <c r="R153" s="74" t="s">
        <v>12</v>
      </c>
      <c r="S153" s="47"/>
      <c r="T153" s="74" t="s">
        <v>11</v>
      </c>
      <c r="U153" s="74" t="s">
        <v>11</v>
      </c>
      <c r="V153" s="74" t="s">
        <v>11</v>
      </c>
      <c r="W153" s="74" t="s">
        <v>11</v>
      </c>
      <c r="X153" s="74" t="s">
        <v>12</v>
      </c>
      <c r="Y153" s="33"/>
      <c r="Z153" s="47"/>
      <c r="AA153" s="74" t="s">
        <v>10</v>
      </c>
      <c r="AB153" s="74" t="s">
        <v>10</v>
      </c>
      <c r="AC153" s="74" t="s">
        <v>12</v>
      </c>
      <c r="AD153" s="74" t="s">
        <v>12</v>
      </c>
      <c r="AE153" s="33"/>
      <c r="AF153" s="33"/>
      <c r="AG153" s="33"/>
      <c r="AH153" s="33">
        <v>4</v>
      </c>
      <c r="AI153" s="33">
        <v>4</v>
      </c>
      <c r="AJ153" s="33">
        <v>8</v>
      </c>
      <c r="AK153" s="48">
        <v>2</v>
      </c>
      <c r="AL153" s="49">
        <v>0</v>
      </c>
      <c r="AM153" s="49">
        <v>0</v>
      </c>
    </row>
    <row r="154" spans="1:39" x14ac:dyDescent="0.25">
      <c r="A154" s="35" t="s">
        <v>233</v>
      </c>
      <c r="B154" s="33"/>
      <c r="C154" s="33"/>
      <c r="D154" s="33"/>
      <c r="E154" s="47"/>
      <c r="F154" s="33"/>
      <c r="G154" s="33"/>
      <c r="H154" s="33"/>
      <c r="I154" s="74" t="s">
        <v>10</v>
      </c>
      <c r="J154" s="74" t="s">
        <v>12</v>
      </c>
      <c r="K154" s="74" t="s">
        <v>12</v>
      </c>
      <c r="L154" s="47"/>
      <c r="M154" s="74" t="s">
        <v>11</v>
      </c>
      <c r="N154" s="74" t="s">
        <v>11</v>
      </c>
      <c r="O154" s="74" t="s">
        <v>11</v>
      </c>
      <c r="P154" s="74" t="s">
        <v>11</v>
      </c>
      <c r="Q154" s="74" t="s">
        <v>11</v>
      </c>
      <c r="R154" s="33"/>
      <c r="S154" s="47"/>
      <c r="T154" s="74" t="s">
        <v>10</v>
      </c>
      <c r="U154" s="74" t="s">
        <v>10</v>
      </c>
      <c r="V154" s="74" t="s">
        <v>12</v>
      </c>
      <c r="W154" s="74" t="s">
        <v>12</v>
      </c>
      <c r="X154" s="33"/>
      <c r="Y154" s="33"/>
      <c r="Z154" s="47"/>
      <c r="AA154" s="74" t="s">
        <v>10</v>
      </c>
      <c r="AB154" s="74" t="s">
        <v>10</v>
      </c>
      <c r="AC154" s="74" t="s">
        <v>12</v>
      </c>
      <c r="AD154" s="74" t="s">
        <v>12</v>
      </c>
      <c r="AE154" s="33"/>
      <c r="AF154" s="33"/>
      <c r="AG154" s="33"/>
      <c r="AH154" s="33">
        <v>5</v>
      </c>
      <c r="AI154" s="33">
        <v>5</v>
      </c>
      <c r="AJ154" s="33">
        <v>6</v>
      </c>
      <c r="AK154" s="48">
        <v>1</v>
      </c>
      <c r="AL154" s="49">
        <v>0</v>
      </c>
      <c r="AM154" s="49">
        <v>0</v>
      </c>
    </row>
    <row r="155" spans="1:39" x14ac:dyDescent="0.25">
      <c r="A155" s="35" t="s">
        <v>226</v>
      </c>
      <c r="B155" s="74" t="s">
        <v>10</v>
      </c>
      <c r="C155" s="74" t="s">
        <v>12</v>
      </c>
      <c r="D155" s="74" t="s">
        <v>12</v>
      </c>
      <c r="E155" s="47"/>
      <c r="F155" s="74" t="s">
        <v>11</v>
      </c>
      <c r="G155" s="74" t="s">
        <v>11</v>
      </c>
      <c r="H155" s="74" t="s">
        <v>11</v>
      </c>
      <c r="I155" s="74" t="s">
        <v>11</v>
      </c>
      <c r="J155" s="74" t="s">
        <v>11</v>
      </c>
      <c r="K155" s="33"/>
      <c r="L155" s="47"/>
      <c r="M155" s="74" t="s">
        <v>10</v>
      </c>
      <c r="N155" s="74" t="s">
        <v>10</v>
      </c>
      <c r="O155" s="74" t="s">
        <v>12</v>
      </c>
      <c r="P155" s="74" t="s">
        <v>12</v>
      </c>
      <c r="Q155" s="33"/>
      <c r="R155" s="33"/>
      <c r="S155" s="47"/>
      <c r="T155" s="74" t="s">
        <v>10</v>
      </c>
      <c r="U155" s="74" t="s">
        <v>10</v>
      </c>
      <c r="V155" s="74" t="s">
        <v>12</v>
      </c>
      <c r="W155" s="74" t="s">
        <v>12</v>
      </c>
      <c r="X155" s="33"/>
      <c r="Y155" s="33"/>
      <c r="Z155" s="47"/>
      <c r="AA155" s="74" t="s">
        <v>12</v>
      </c>
      <c r="AB155" s="74" t="s">
        <v>12</v>
      </c>
      <c r="AC155" s="74" t="s">
        <v>10</v>
      </c>
      <c r="AD155" s="33"/>
      <c r="AE155" s="33"/>
      <c r="AF155" s="33"/>
      <c r="AG155" s="33"/>
      <c r="AH155" s="33">
        <v>5</v>
      </c>
      <c r="AI155" s="33">
        <v>6</v>
      </c>
      <c r="AJ155" s="33">
        <v>8</v>
      </c>
      <c r="AK155" s="48">
        <v>1</v>
      </c>
      <c r="AL155" s="49">
        <v>0</v>
      </c>
      <c r="AM155" s="49">
        <v>0</v>
      </c>
    </row>
    <row r="156" spans="1:39" x14ac:dyDescent="0.25">
      <c r="A156" s="35" t="s">
        <v>232</v>
      </c>
      <c r="B156" s="74" t="s">
        <v>11</v>
      </c>
      <c r="C156" s="74" t="s">
        <v>11</v>
      </c>
      <c r="D156" s="33"/>
      <c r="E156" s="47"/>
      <c r="F156" s="74" t="s">
        <v>10</v>
      </c>
      <c r="G156" s="74" t="s">
        <v>10</v>
      </c>
      <c r="H156" s="74" t="s">
        <v>12</v>
      </c>
      <c r="I156" s="74" t="s">
        <v>12</v>
      </c>
      <c r="J156" s="33"/>
      <c r="K156" s="33"/>
      <c r="L156" s="47"/>
      <c r="M156" s="74" t="s">
        <v>10</v>
      </c>
      <c r="N156" s="74" t="s">
        <v>10</v>
      </c>
      <c r="O156" s="74" t="s">
        <v>12</v>
      </c>
      <c r="P156" s="74" t="s">
        <v>12</v>
      </c>
      <c r="Q156" s="33"/>
      <c r="R156" s="33"/>
      <c r="S156" s="47"/>
      <c r="T156" s="74" t="s">
        <v>12</v>
      </c>
      <c r="U156" s="74" t="s">
        <v>12</v>
      </c>
      <c r="V156" s="74" t="s">
        <v>10</v>
      </c>
      <c r="W156" s="33"/>
      <c r="X156" s="33"/>
      <c r="Y156" s="90" t="s">
        <v>14</v>
      </c>
      <c r="Z156" s="47"/>
      <c r="AA156" s="33"/>
      <c r="AB156" s="33"/>
      <c r="AC156" s="33"/>
      <c r="AD156" s="33"/>
      <c r="AE156" s="74" t="s">
        <v>10</v>
      </c>
      <c r="AF156" s="74" t="s">
        <v>12</v>
      </c>
      <c r="AG156" s="33"/>
      <c r="AH156" s="33">
        <v>2</v>
      </c>
      <c r="AI156" s="33">
        <v>6</v>
      </c>
      <c r="AJ156" s="33">
        <v>7</v>
      </c>
      <c r="AK156" s="48">
        <v>1</v>
      </c>
      <c r="AL156" s="49">
        <v>0</v>
      </c>
      <c r="AM156" s="49">
        <v>0</v>
      </c>
    </row>
    <row r="157" spans="1:39" x14ac:dyDescent="0.25">
      <c r="A157" s="35" t="s">
        <v>229</v>
      </c>
      <c r="B157" s="74" t="s">
        <v>12</v>
      </c>
      <c r="C157" s="33"/>
      <c r="D157" s="33"/>
      <c r="E157" s="47"/>
      <c r="F157" s="74" t="s">
        <v>10</v>
      </c>
      <c r="G157" s="74" t="s">
        <v>10</v>
      </c>
      <c r="H157" s="74" t="s">
        <v>12</v>
      </c>
      <c r="I157" s="74" t="s">
        <v>12</v>
      </c>
      <c r="J157" s="33"/>
      <c r="K157" s="33"/>
      <c r="L157" s="47"/>
      <c r="M157" s="74" t="s">
        <v>12</v>
      </c>
      <c r="N157" s="74" t="s">
        <v>12</v>
      </c>
      <c r="O157" s="74" t="s">
        <v>10</v>
      </c>
      <c r="P157" s="33"/>
      <c r="Q157" s="33"/>
      <c r="R157" s="33"/>
      <c r="S157" s="47"/>
      <c r="T157" s="33"/>
      <c r="U157" s="33"/>
      <c r="V157" s="33"/>
      <c r="W157" s="33"/>
      <c r="X157" s="74" t="s">
        <v>10</v>
      </c>
      <c r="Y157" s="74" t="s">
        <v>12</v>
      </c>
      <c r="Z157" s="73" t="s">
        <v>12</v>
      </c>
      <c r="AA157" s="33"/>
      <c r="AB157" s="33"/>
      <c r="AC157" s="33"/>
      <c r="AD157" s="33"/>
      <c r="AE157" s="74" t="s">
        <v>10</v>
      </c>
      <c r="AF157" s="74" t="s">
        <v>12</v>
      </c>
      <c r="AG157" s="33"/>
      <c r="AH157" s="33">
        <v>0</v>
      </c>
      <c r="AI157" s="33">
        <v>5</v>
      </c>
      <c r="AJ157" s="33">
        <v>8</v>
      </c>
      <c r="AK157" s="48">
        <v>2</v>
      </c>
      <c r="AL157" s="49">
        <v>1</v>
      </c>
      <c r="AM157" s="49">
        <v>0</v>
      </c>
    </row>
    <row r="158" spans="1:39" x14ac:dyDescent="0.25">
      <c r="A158" s="35" t="s">
        <v>235</v>
      </c>
      <c r="B158" s="74" t="s">
        <v>12</v>
      </c>
      <c r="C158" s="33"/>
      <c r="D158" s="33"/>
      <c r="E158" s="47"/>
      <c r="F158" s="74" t="s">
        <v>12</v>
      </c>
      <c r="G158" s="74" t="s">
        <v>12</v>
      </c>
      <c r="H158" s="74" t="s">
        <v>10</v>
      </c>
      <c r="I158" s="33"/>
      <c r="J158" s="33"/>
      <c r="K158" s="33"/>
      <c r="L158" s="47"/>
      <c r="M158" s="33"/>
      <c r="N158" s="33"/>
      <c r="O158" s="33"/>
      <c r="P158" s="33"/>
      <c r="Q158" s="74" t="s">
        <v>10</v>
      </c>
      <c r="R158" s="74" t="s">
        <v>12</v>
      </c>
      <c r="S158" s="73" t="s">
        <v>12</v>
      </c>
      <c r="T158" s="33"/>
      <c r="U158" s="33"/>
      <c r="V158" s="33"/>
      <c r="W158" s="33"/>
      <c r="X158" s="87"/>
      <c r="Y158" s="87"/>
      <c r="Z158" s="87"/>
      <c r="AA158" s="84"/>
      <c r="AB158" s="33"/>
      <c r="AC158" s="33"/>
      <c r="AD158" s="74" t="s">
        <v>10</v>
      </c>
      <c r="AE158" s="74" t="s">
        <v>12</v>
      </c>
      <c r="AF158" s="74" t="s">
        <v>12</v>
      </c>
      <c r="AG158" s="33"/>
      <c r="AH158" s="33">
        <v>0</v>
      </c>
      <c r="AI158" s="33">
        <v>3</v>
      </c>
      <c r="AJ158" s="33">
        <v>7</v>
      </c>
      <c r="AK158" s="48">
        <v>2</v>
      </c>
      <c r="AL158" s="49">
        <v>1</v>
      </c>
      <c r="AM158" s="49">
        <v>0</v>
      </c>
    </row>
    <row r="159" spans="1:39" x14ac:dyDescent="0.25">
      <c r="A159" s="35" t="s">
        <v>228</v>
      </c>
      <c r="B159" s="33"/>
      <c r="C159" s="33"/>
      <c r="D159" s="33"/>
      <c r="E159" s="47"/>
      <c r="F159" s="33"/>
      <c r="G159" s="33"/>
      <c r="H159" s="33"/>
      <c r="I159" s="33"/>
      <c r="J159" s="74" t="s">
        <v>10</v>
      </c>
      <c r="K159" s="74" t="s">
        <v>12</v>
      </c>
      <c r="L159" s="73" t="s">
        <v>12</v>
      </c>
      <c r="M159" s="33"/>
      <c r="N159" s="33"/>
      <c r="O159" s="33"/>
      <c r="P159" s="33"/>
      <c r="Q159" s="74" t="s">
        <v>10</v>
      </c>
      <c r="R159" s="74" t="s">
        <v>12</v>
      </c>
      <c r="S159" s="73" t="s">
        <v>12</v>
      </c>
      <c r="T159" s="33"/>
      <c r="U159" s="33"/>
      <c r="V159" s="33"/>
      <c r="W159" s="74" t="s">
        <v>10</v>
      </c>
      <c r="X159" s="74" t="s">
        <v>12</v>
      </c>
      <c r="Y159" s="74" t="s">
        <v>12</v>
      </c>
      <c r="Z159" s="47"/>
      <c r="AA159" s="74" t="s">
        <v>11</v>
      </c>
      <c r="AB159" s="74" t="s">
        <v>11</v>
      </c>
      <c r="AC159" s="74" t="s">
        <v>11</v>
      </c>
      <c r="AD159" s="74" t="s">
        <v>11</v>
      </c>
      <c r="AE159" s="74" t="s">
        <v>11</v>
      </c>
      <c r="AF159" s="33"/>
      <c r="AG159" s="33"/>
      <c r="AH159" s="33">
        <v>5</v>
      </c>
      <c r="AI159" s="33">
        <v>3</v>
      </c>
      <c r="AJ159" s="33">
        <v>6</v>
      </c>
      <c r="AK159" s="48">
        <v>3</v>
      </c>
      <c r="AL159" s="49">
        <v>2</v>
      </c>
      <c r="AM159" s="49">
        <v>0</v>
      </c>
    </row>
    <row r="160" spans="1:39" ht="15.75" x14ac:dyDescent="0.25">
      <c r="A160" s="35" t="s">
        <v>234</v>
      </c>
      <c r="B160" s="33"/>
      <c r="C160" s="74" t="s">
        <v>10</v>
      </c>
      <c r="D160" s="74" t="s">
        <v>12</v>
      </c>
      <c r="E160" s="73" t="s">
        <v>12</v>
      </c>
      <c r="F160" s="33"/>
      <c r="G160" s="33"/>
      <c r="H160" s="33"/>
      <c r="I160" s="33"/>
      <c r="J160" s="74" t="s">
        <v>10</v>
      </c>
      <c r="K160" s="74" t="s">
        <v>12</v>
      </c>
      <c r="L160" s="73" t="s">
        <v>12</v>
      </c>
      <c r="M160" s="33"/>
      <c r="N160" s="33"/>
      <c r="O160" s="33"/>
      <c r="P160" s="74" t="s">
        <v>10</v>
      </c>
      <c r="Q160" s="74" t="s">
        <v>12</v>
      </c>
      <c r="R160" s="74" t="s">
        <v>12</v>
      </c>
      <c r="S160" s="47"/>
      <c r="T160" s="74" t="s">
        <v>11</v>
      </c>
      <c r="U160" s="74" t="s">
        <v>11</v>
      </c>
      <c r="V160" s="74" t="s">
        <v>11</v>
      </c>
      <c r="W160" s="74" t="s">
        <v>11</v>
      </c>
      <c r="X160" s="74" t="s">
        <v>11</v>
      </c>
      <c r="Y160" s="33"/>
      <c r="Z160" s="47"/>
      <c r="AA160" s="46" t="s">
        <v>14</v>
      </c>
      <c r="AB160" s="46" t="s">
        <v>14</v>
      </c>
      <c r="AC160" s="46" t="s">
        <v>14</v>
      </c>
      <c r="AD160" s="46" t="s">
        <v>14</v>
      </c>
      <c r="AE160" s="46" t="s">
        <v>14</v>
      </c>
      <c r="AF160" s="46" t="s">
        <v>14</v>
      </c>
      <c r="AG160" s="33"/>
      <c r="AH160" s="33">
        <v>5</v>
      </c>
      <c r="AI160" s="33">
        <v>3</v>
      </c>
      <c r="AJ160" s="33">
        <v>6</v>
      </c>
      <c r="AK160" s="48">
        <v>3</v>
      </c>
      <c r="AL160" s="49">
        <v>2</v>
      </c>
      <c r="AM160" s="49">
        <v>0</v>
      </c>
    </row>
    <row r="161" spans="1:39" ht="15.75" x14ac:dyDescent="0.25">
      <c r="A161" s="35" t="s">
        <v>230</v>
      </c>
      <c r="B161" s="33"/>
      <c r="C161" s="74" t="s">
        <v>10</v>
      </c>
      <c r="D161" s="74" t="s">
        <v>12</v>
      </c>
      <c r="E161" s="73" t="s">
        <v>12</v>
      </c>
      <c r="F161" s="33"/>
      <c r="G161" s="33"/>
      <c r="H161" s="33"/>
      <c r="I161" s="74" t="s">
        <v>10</v>
      </c>
      <c r="J161" s="74" t="s">
        <v>12</v>
      </c>
      <c r="K161" s="74" t="s">
        <v>12</v>
      </c>
      <c r="L161" s="47"/>
      <c r="M161" s="74" t="s">
        <v>11</v>
      </c>
      <c r="N161" s="74" t="s">
        <v>11</v>
      </c>
      <c r="O161" s="74" t="s">
        <v>11</v>
      </c>
      <c r="P161" s="74" t="s">
        <v>11</v>
      </c>
      <c r="Q161" s="74" t="s">
        <v>11</v>
      </c>
      <c r="R161" s="33"/>
      <c r="S161" s="47"/>
      <c r="T161" s="46" t="s">
        <v>14</v>
      </c>
      <c r="U161" s="46" t="s">
        <v>14</v>
      </c>
      <c r="V161" s="46" t="s">
        <v>14</v>
      </c>
      <c r="W161" s="46" t="s">
        <v>14</v>
      </c>
      <c r="X161" s="46" t="s">
        <v>14</v>
      </c>
      <c r="Y161" s="89" t="s">
        <v>12</v>
      </c>
      <c r="Z161" s="45" t="s">
        <v>14</v>
      </c>
      <c r="AA161" s="74" t="s">
        <v>12</v>
      </c>
      <c r="AB161" s="74" t="s">
        <v>12</v>
      </c>
      <c r="AC161" s="74" t="s">
        <v>10</v>
      </c>
      <c r="AD161" s="33"/>
      <c r="AE161" s="33"/>
      <c r="AF161" s="33"/>
      <c r="AG161" s="33"/>
      <c r="AH161" s="33">
        <v>5</v>
      </c>
      <c r="AI161" s="33">
        <v>3</v>
      </c>
      <c r="AJ161" s="33">
        <v>7</v>
      </c>
      <c r="AK161" s="48">
        <v>3</v>
      </c>
      <c r="AL161" s="49">
        <v>1</v>
      </c>
      <c r="AM161" s="49">
        <v>0</v>
      </c>
    </row>
    <row r="162" spans="1:39" ht="15.75" x14ac:dyDescent="0.25">
      <c r="A162" s="35" t="s">
        <v>227</v>
      </c>
      <c r="B162" s="74" t="s">
        <v>10</v>
      </c>
      <c r="C162" s="74" t="s">
        <v>11</v>
      </c>
      <c r="D162" s="87"/>
      <c r="E162" s="84"/>
      <c r="F162" s="74" t="s">
        <v>11</v>
      </c>
      <c r="G162" s="74" t="s">
        <v>11</v>
      </c>
      <c r="H162" s="74" t="s">
        <v>11</v>
      </c>
      <c r="I162" s="74" t="s">
        <v>11</v>
      </c>
      <c r="J162" s="74" t="s">
        <v>11</v>
      </c>
      <c r="K162" s="33"/>
      <c r="L162" s="47"/>
      <c r="M162" s="46" t="s">
        <v>14</v>
      </c>
      <c r="N162" s="46" t="s">
        <v>14</v>
      </c>
      <c r="O162" s="46" t="s">
        <v>14</v>
      </c>
      <c r="P162" s="46" t="s">
        <v>14</v>
      </c>
      <c r="Q162" s="46" t="s">
        <v>14</v>
      </c>
      <c r="R162" s="46" t="s">
        <v>14</v>
      </c>
      <c r="S162" s="45" t="s">
        <v>14</v>
      </c>
      <c r="T162" s="74" t="s">
        <v>12</v>
      </c>
      <c r="U162" s="74" t="s">
        <v>12</v>
      </c>
      <c r="V162" s="74" t="s">
        <v>10</v>
      </c>
      <c r="W162" s="33"/>
      <c r="X162" s="33"/>
      <c r="Y162" s="33"/>
      <c r="Z162" s="73" t="s">
        <v>12</v>
      </c>
      <c r="AA162" s="33"/>
      <c r="AB162" s="33"/>
      <c r="AC162" s="33"/>
      <c r="AD162" s="74" t="s">
        <v>10</v>
      </c>
      <c r="AE162" s="74" t="s">
        <v>12</v>
      </c>
      <c r="AF162" s="74" t="s">
        <v>12</v>
      </c>
      <c r="AG162" s="33"/>
      <c r="AH162" s="33">
        <v>6</v>
      </c>
      <c r="AI162" s="33">
        <v>3</v>
      </c>
      <c r="AJ162" s="33">
        <v>5</v>
      </c>
      <c r="AK162" s="48">
        <v>1</v>
      </c>
      <c r="AL162" s="49">
        <v>1</v>
      </c>
      <c r="AM162" s="49">
        <v>0</v>
      </c>
    </row>
    <row r="163" spans="1:39" ht="15.75" x14ac:dyDescent="0.25">
      <c r="A163" s="35" t="s">
        <v>213</v>
      </c>
      <c r="B163" s="74" t="s">
        <v>11</v>
      </c>
      <c r="C163" s="74" t="s">
        <v>12</v>
      </c>
      <c r="D163" s="90" t="s">
        <v>14</v>
      </c>
      <c r="E163" s="47"/>
      <c r="F163" s="46" t="s">
        <v>14</v>
      </c>
      <c r="G163" s="46" t="s">
        <v>14</v>
      </c>
      <c r="H163" s="46" t="s">
        <v>14</v>
      </c>
      <c r="I163" s="46" t="s">
        <v>14</v>
      </c>
      <c r="J163" s="46" t="s">
        <v>14</v>
      </c>
      <c r="K163" s="46" t="s">
        <v>14</v>
      </c>
      <c r="L163" s="45" t="s">
        <v>14</v>
      </c>
      <c r="M163" s="74" t="s">
        <v>12</v>
      </c>
      <c r="N163" s="74" t="s">
        <v>12</v>
      </c>
      <c r="O163" s="74" t="s">
        <v>10</v>
      </c>
      <c r="P163" s="33"/>
      <c r="Q163" s="33"/>
      <c r="R163" s="33"/>
      <c r="S163" s="47"/>
      <c r="T163" s="33"/>
      <c r="U163" s="33"/>
      <c r="V163" s="33"/>
      <c r="W163" s="74" t="s">
        <v>10</v>
      </c>
      <c r="X163" s="74" t="s">
        <v>12</v>
      </c>
      <c r="Y163" s="74" t="s">
        <v>12</v>
      </c>
      <c r="Z163" s="47"/>
      <c r="AA163" s="74" t="s">
        <v>11</v>
      </c>
      <c r="AB163" s="74" t="s">
        <v>11</v>
      </c>
      <c r="AC163" s="74" t="s">
        <v>11</v>
      </c>
      <c r="AD163" s="74" t="s">
        <v>11</v>
      </c>
      <c r="AE163" s="74" t="s">
        <v>11</v>
      </c>
      <c r="AF163" s="33"/>
      <c r="AG163" s="33"/>
      <c r="AH163" s="33">
        <v>6</v>
      </c>
      <c r="AI163" s="33">
        <v>2</v>
      </c>
      <c r="AJ163" s="33">
        <v>5</v>
      </c>
      <c r="AK163" s="48">
        <v>1</v>
      </c>
      <c r="AL163" s="49">
        <v>0</v>
      </c>
      <c r="AM163" s="49">
        <v>0</v>
      </c>
    </row>
    <row r="164" spans="1:39" x14ac:dyDescent="0.25">
      <c r="A164" s="53" t="s">
        <v>224</v>
      </c>
      <c r="B164" s="54">
        <v>6</v>
      </c>
      <c r="C164" s="54">
        <v>6</v>
      </c>
      <c r="D164" s="54">
        <v>4</v>
      </c>
      <c r="E164" s="39">
        <v>2</v>
      </c>
      <c r="F164" s="54">
        <v>6</v>
      </c>
      <c r="G164" s="54">
        <v>6</v>
      </c>
      <c r="H164" s="54">
        <v>6</v>
      </c>
      <c r="I164" s="54">
        <v>6</v>
      </c>
      <c r="J164" s="54">
        <v>6</v>
      </c>
      <c r="K164" s="54">
        <v>4</v>
      </c>
      <c r="L164" s="39">
        <v>2</v>
      </c>
      <c r="M164" s="54">
        <v>6</v>
      </c>
      <c r="N164" s="54">
        <v>6</v>
      </c>
      <c r="O164" s="54">
        <v>6</v>
      </c>
      <c r="P164" s="54">
        <v>6</v>
      </c>
      <c r="Q164" s="54">
        <v>6</v>
      </c>
      <c r="R164" s="54">
        <v>4</v>
      </c>
      <c r="S164" s="39">
        <v>2</v>
      </c>
      <c r="T164" s="54">
        <v>6</v>
      </c>
      <c r="U164" s="54">
        <v>6</v>
      </c>
      <c r="V164" s="54">
        <v>6</v>
      </c>
      <c r="W164" s="54">
        <v>6</v>
      </c>
      <c r="X164" s="54">
        <v>5</v>
      </c>
      <c r="Y164" s="54">
        <v>4</v>
      </c>
      <c r="Z164" s="39">
        <v>2</v>
      </c>
      <c r="AA164" s="54">
        <v>6</v>
      </c>
      <c r="AB164" s="54">
        <v>6</v>
      </c>
      <c r="AC164" s="54">
        <v>6</v>
      </c>
      <c r="AD164" s="54">
        <v>6</v>
      </c>
      <c r="AE164" s="54">
        <v>6</v>
      </c>
      <c r="AF164" s="54">
        <v>4</v>
      </c>
    </row>
    <row r="165" spans="1:39" x14ac:dyDescent="0.25">
      <c r="B165" s="138" t="s">
        <v>223</v>
      </c>
      <c r="C165" s="138"/>
      <c r="D165" s="138"/>
      <c r="E165" s="138"/>
      <c r="F165" s="138"/>
      <c r="G165" s="138"/>
      <c r="H165" s="138"/>
      <c r="I165" s="138"/>
      <c r="J165" s="138"/>
      <c r="K165" s="138"/>
      <c r="L165" s="138"/>
      <c r="M165" s="138"/>
      <c r="N165" s="138"/>
      <c r="O165" s="138"/>
      <c r="P165" s="138"/>
      <c r="Q165" s="138"/>
      <c r="R165" s="138"/>
      <c r="S165" s="138"/>
      <c r="T165" s="138"/>
      <c r="U165" s="138"/>
      <c r="V165" s="138"/>
      <c r="W165" s="138"/>
      <c r="X165" s="138"/>
      <c r="Y165" s="138"/>
      <c r="Z165" s="138"/>
      <c r="AA165" s="138"/>
      <c r="AB165" s="138"/>
      <c r="AC165" s="138"/>
      <c r="AD165" s="138"/>
      <c r="AE165" s="138"/>
      <c r="AF165" s="138"/>
    </row>
    <row r="166" spans="1:39" ht="17.25" x14ac:dyDescent="0.3">
      <c r="A166" s="26" t="s">
        <v>193</v>
      </c>
    </row>
    <row r="167" spans="1:39" ht="30" x14ac:dyDescent="0.25">
      <c r="A167" s="52" t="s">
        <v>13</v>
      </c>
      <c r="B167" s="51" t="s">
        <v>154</v>
      </c>
      <c r="C167" s="51" t="s">
        <v>155</v>
      </c>
      <c r="D167" s="51" t="s">
        <v>156</v>
      </c>
      <c r="E167" s="50" t="s">
        <v>157</v>
      </c>
      <c r="F167" s="51" t="s">
        <v>158</v>
      </c>
      <c r="G167" s="51" t="s">
        <v>20</v>
      </c>
      <c r="H167" s="51" t="s">
        <v>82</v>
      </c>
      <c r="I167" s="51" t="s">
        <v>159</v>
      </c>
      <c r="J167" s="51" t="s">
        <v>160</v>
      </c>
      <c r="K167" s="51" t="s">
        <v>161</v>
      </c>
      <c r="L167" s="50" t="s">
        <v>162</v>
      </c>
      <c r="M167" s="51" t="s">
        <v>163</v>
      </c>
      <c r="N167" s="51" t="s">
        <v>27</v>
      </c>
      <c r="O167" s="51" t="s">
        <v>89</v>
      </c>
      <c r="P167" s="51" t="s">
        <v>164</v>
      </c>
      <c r="Q167" s="51" t="s">
        <v>165</v>
      </c>
      <c r="R167" s="51" t="s">
        <v>166</v>
      </c>
      <c r="S167" s="50" t="s">
        <v>167</v>
      </c>
      <c r="T167" s="51" t="s">
        <v>168</v>
      </c>
      <c r="U167" s="51" t="s">
        <v>34</v>
      </c>
      <c r="V167" s="51" t="s">
        <v>96</v>
      </c>
      <c r="W167" s="51" t="s">
        <v>169</v>
      </c>
      <c r="X167" s="51" t="s">
        <v>170</v>
      </c>
      <c r="Y167" s="51" t="s">
        <v>171</v>
      </c>
      <c r="Z167" s="50" t="s">
        <v>172</v>
      </c>
      <c r="AA167" s="51" t="s">
        <v>173</v>
      </c>
      <c r="AB167" s="51" t="s">
        <v>41</v>
      </c>
      <c r="AC167" s="51" t="s">
        <v>103</v>
      </c>
      <c r="AD167" s="51" t="s">
        <v>174</v>
      </c>
      <c r="AE167" s="51" t="s">
        <v>175</v>
      </c>
      <c r="AF167" s="51" t="s">
        <v>176</v>
      </c>
    </row>
    <row r="168" spans="1:39" x14ac:dyDescent="0.25">
      <c r="A168" s="35" t="s">
        <v>231</v>
      </c>
      <c r="B168" s="33"/>
      <c r="C168" s="33"/>
      <c r="D168" s="33"/>
      <c r="E168" s="47"/>
      <c r="F168" s="33"/>
      <c r="G168" s="33"/>
      <c r="H168" s="74" t="s">
        <v>211</v>
      </c>
      <c r="I168" s="33"/>
      <c r="J168" s="33"/>
      <c r="K168" s="33"/>
      <c r="L168" s="47"/>
      <c r="M168" s="33"/>
      <c r="N168" s="33"/>
      <c r="O168" s="33"/>
      <c r="P168" s="74" t="s">
        <v>211</v>
      </c>
      <c r="Q168" s="33"/>
      <c r="R168" s="33"/>
      <c r="S168" s="47"/>
      <c r="T168" s="74" t="s">
        <v>212</v>
      </c>
      <c r="U168" s="33"/>
      <c r="V168" s="33"/>
      <c r="W168" s="33"/>
      <c r="X168" s="33"/>
      <c r="Y168" s="33"/>
      <c r="Z168" s="47"/>
      <c r="AA168" s="33"/>
      <c r="AB168" s="33"/>
      <c r="AC168" s="33"/>
      <c r="AD168" s="33"/>
      <c r="AE168" s="33"/>
      <c r="AF168" s="33"/>
    </row>
    <row r="169" spans="1:39" x14ac:dyDescent="0.25">
      <c r="A169" s="35" t="s">
        <v>233</v>
      </c>
      <c r="B169" s="33"/>
      <c r="C169" s="33"/>
      <c r="D169" s="33"/>
      <c r="E169" s="47"/>
      <c r="F169" s="33"/>
      <c r="G169" s="33"/>
      <c r="H169" s="33"/>
      <c r="I169" s="74" t="s">
        <v>211</v>
      </c>
      <c r="J169" s="33"/>
      <c r="K169" s="33"/>
      <c r="L169" s="47"/>
      <c r="M169" s="74" t="s">
        <v>212</v>
      </c>
      <c r="N169" s="33"/>
      <c r="O169" s="33"/>
      <c r="P169" s="33"/>
      <c r="Q169" s="33"/>
      <c r="R169" s="33"/>
      <c r="S169" s="47"/>
      <c r="T169" s="33"/>
      <c r="U169" s="33"/>
      <c r="V169" s="33"/>
      <c r="W169" s="33"/>
      <c r="X169" s="33"/>
      <c r="Y169" s="33"/>
      <c r="Z169" s="47"/>
      <c r="AA169" s="33"/>
      <c r="AB169" s="33"/>
      <c r="AC169" s="33"/>
      <c r="AD169" s="33"/>
      <c r="AE169" s="33"/>
      <c r="AF169" s="33"/>
    </row>
    <row r="170" spans="1:39" x14ac:dyDescent="0.25">
      <c r="A170" s="35" t="s">
        <v>226</v>
      </c>
      <c r="B170" s="74" t="s">
        <v>211</v>
      </c>
      <c r="C170" s="33"/>
      <c r="D170" s="33"/>
      <c r="E170" s="47"/>
      <c r="F170" s="74" t="s">
        <v>212</v>
      </c>
      <c r="G170" s="33"/>
      <c r="H170" s="33"/>
      <c r="I170" s="33"/>
      <c r="J170" s="33"/>
      <c r="K170" s="33"/>
      <c r="L170" s="47"/>
      <c r="M170" s="33"/>
      <c r="N170" s="33"/>
      <c r="O170" s="33"/>
      <c r="P170" s="33"/>
      <c r="Q170" s="33"/>
      <c r="R170" s="33"/>
      <c r="S170" s="47"/>
      <c r="T170" s="33"/>
      <c r="U170" s="33"/>
      <c r="V170" s="33"/>
      <c r="W170" s="33"/>
      <c r="X170" s="33"/>
      <c r="Y170" s="33"/>
      <c r="Z170" s="47"/>
      <c r="AA170" s="33"/>
      <c r="AB170" s="33"/>
      <c r="AC170" s="74" t="s">
        <v>211</v>
      </c>
      <c r="AD170" s="33"/>
      <c r="AE170" s="33"/>
      <c r="AF170" s="33"/>
    </row>
    <row r="171" spans="1:39" x14ac:dyDescent="0.25">
      <c r="A171" s="35" t="s">
        <v>232</v>
      </c>
      <c r="B171" s="33"/>
      <c r="C171" s="33"/>
      <c r="D171" s="33"/>
      <c r="E171" s="47"/>
      <c r="F171" s="33"/>
      <c r="G171" s="33"/>
      <c r="H171" s="33"/>
      <c r="I171" s="33"/>
      <c r="J171" s="33"/>
      <c r="K171" s="33"/>
      <c r="L171" s="47"/>
      <c r="M171" s="33"/>
      <c r="N171" s="33"/>
      <c r="O171" s="33"/>
      <c r="P171" s="33"/>
      <c r="Q171" s="33"/>
      <c r="R171" s="33"/>
      <c r="S171" s="47"/>
      <c r="T171" s="33"/>
      <c r="U171" s="33"/>
      <c r="V171" s="74" t="s">
        <v>211</v>
      </c>
      <c r="W171" s="33"/>
      <c r="X171" s="33"/>
      <c r="Y171" s="33"/>
      <c r="Z171" s="47"/>
      <c r="AA171" s="33"/>
      <c r="AB171" s="33"/>
      <c r="AC171" s="33"/>
      <c r="AD171" s="33"/>
      <c r="AE171" s="74" t="s">
        <v>211</v>
      </c>
      <c r="AF171" s="33"/>
    </row>
    <row r="172" spans="1:39" x14ac:dyDescent="0.25">
      <c r="A172" s="35" t="s">
        <v>229</v>
      </c>
      <c r="B172" s="33"/>
      <c r="C172" s="33"/>
      <c r="D172" s="33"/>
      <c r="E172" s="47"/>
      <c r="F172" s="33"/>
      <c r="G172" s="33"/>
      <c r="H172" s="33"/>
      <c r="I172" s="33"/>
      <c r="J172" s="33"/>
      <c r="K172" s="33"/>
      <c r="L172" s="47"/>
      <c r="M172" s="33"/>
      <c r="N172" s="33"/>
      <c r="O172" s="74" t="s">
        <v>211</v>
      </c>
      <c r="P172" s="33"/>
      <c r="Q172" s="33"/>
      <c r="R172" s="33"/>
      <c r="S172" s="47"/>
      <c r="T172" s="33"/>
      <c r="U172" s="33"/>
      <c r="V172" s="33"/>
      <c r="W172" s="33"/>
      <c r="X172" s="74" t="s">
        <v>211</v>
      </c>
      <c r="Y172" s="33"/>
      <c r="Z172" s="47"/>
      <c r="AA172" s="33"/>
      <c r="AB172" s="33"/>
      <c r="AC172" s="33"/>
      <c r="AD172" s="33"/>
      <c r="AE172" s="74" t="s">
        <v>211</v>
      </c>
      <c r="AF172" s="33"/>
    </row>
    <row r="173" spans="1:39" x14ac:dyDescent="0.25">
      <c r="A173" s="35" t="s">
        <v>235</v>
      </c>
      <c r="B173" s="33"/>
      <c r="C173" s="33"/>
      <c r="D173" s="33"/>
      <c r="E173" s="47"/>
      <c r="F173" s="33"/>
      <c r="G173" s="33"/>
      <c r="H173" s="74" t="s">
        <v>211</v>
      </c>
      <c r="I173" s="33"/>
      <c r="J173" s="33"/>
      <c r="K173" s="33"/>
      <c r="L173" s="47"/>
      <c r="M173" s="33"/>
      <c r="N173" s="33"/>
      <c r="O173" s="33"/>
      <c r="P173" s="33"/>
      <c r="Q173" s="74" t="s">
        <v>211</v>
      </c>
      <c r="R173" s="33"/>
      <c r="S173" s="47"/>
      <c r="T173" s="33"/>
      <c r="U173" s="33"/>
      <c r="V173" s="33"/>
      <c r="W173" s="33"/>
      <c r="X173" s="74" t="s">
        <v>211</v>
      </c>
      <c r="Y173" s="33"/>
      <c r="Z173" s="47"/>
      <c r="AA173" s="33"/>
      <c r="AB173" s="33"/>
      <c r="AC173" s="33"/>
      <c r="AD173" s="74" t="s">
        <v>211</v>
      </c>
      <c r="AE173" s="33"/>
      <c r="AF173" s="33"/>
    </row>
    <row r="174" spans="1:39" x14ac:dyDescent="0.25">
      <c r="A174" s="35" t="s">
        <v>228</v>
      </c>
      <c r="B174" s="33"/>
      <c r="C174" s="33"/>
      <c r="D174" s="33"/>
      <c r="E174" s="47"/>
      <c r="F174" s="33"/>
      <c r="G174" s="33"/>
      <c r="H174" s="33"/>
      <c r="I174" s="33"/>
      <c r="J174" s="74" t="s">
        <v>211</v>
      </c>
      <c r="K174" s="33"/>
      <c r="L174" s="47"/>
      <c r="M174" s="33"/>
      <c r="N174" s="33"/>
      <c r="O174" s="33"/>
      <c r="P174" s="33"/>
      <c r="Q174" s="74" t="s">
        <v>211</v>
      </c>
      <c r="R174" s="33"/>
      <c r="S174" s="47"/>
      <c r="T174" s="33"/>
      <c r="U174" s="33"/>
      <c r="V174" s="33"/>
      <c r="W174" s="74" t="s">
        <v>211</v>
      </c>
      <c r="X174" s="33"/>
      <c r="Y174" s="33"/>
      <c r="Z174" s="47"/>
      <c r="AA174" s="33"/>
      <c r="AB174" s="74" t="s">
        <v>211</v>
      </c>
      <c r="AC174" s="33"/>
      <c r="AD174" s="33"/>
      <c r="AE174" s="33"/>
      <c r="AF174" s="33"/>
    </row>
    <row r="175" spans="1:39" x14ac:dyDescent="0.25">
      <c r="A175" s="35" t="s">
        <v>234</v>
      </c>
      <c r="B175" s="33"/>
      <c r="C175" s="74" t="s">
        <v>211</v>
      </c>
      <c r="D175" s="33"/>
      <c r="E175" s="47"/>
      <c r="F175" s="33"/>
      <c r="G175" s="33"/>
      <c r="H175" s="33"/>
      <c r="I175" s="33"/>
      <c r="J175" s="74" t="s">
        <v>211</v>
      </c>
      <c r="K175" s="33"/>
      <c r="L175" s="47"/>
      <c r="M175" s="33"/>
      <c r="N175" s="33"/>
      <c r="O175" s="33"/>
      <c r="P175" s="74" t="s">
        <v>211</v>
      </c>
      <c r="Q175" s="33"/>
      <c r="R175" s="33"/>
      <c r="S175" s="47"/>
      <c r="T175" s="33"/>
      <c r="U175" s="74" t="s">
        <v>211</v>
      </c>
      <c r="V175" s="33"/>
      <c r="W175" s="33"/>
      <c r="X175" s="33"/>
      <c r="Y175" s="33"/>
      <c r="Z175" s="47"/>
      <c r="AA175" s="33"/>
      <c r="AB175" s="33"/>
      <c r="AC175" s="33"/>
      <c r="AD175" s="33"/>
      <c r="AE175" s="33"/>
      <c r="AF175" s="33"/>
    </row>
    <row r="176" spans="1:39" x14ac:dyDescent="0.25">
      <c r="A176" s="35" t="s">
        <v>230</v>
      </c>
      <c r="B176" s="33"/>
      <c r="C176" s="74" t="s">
        <v>211</v>
      </c>
      <c r="D176" s="33"/>
      <c r="E176" s="47"/>
      <c r="F176" s="33"/>
      <c r="G176" s="33"/>
      <c r="H176" s="33"/>
      <c r="I176" s="74" t="s">
        <v>211</v>
      </c>
      <c r="J176" s="33"/>
      <c r="K176" s="33"/>
      <c r="L176" s="47"/>
      <c r="M176" s="33"/>
      <c r="N176" s="74" t="s">
        <v>211</v>
      </c>
      <c r="O176" s="33"/>
      <c r="P176" s="33"/>
      <c r="Q176" s="33"/>
      <c r="R176" s="33"/>
      <c r="S176" s="47"/>
      <c r="T176" s="33"/>
      <c r="U176" s="33"/>
      <c r="V176" s="33"/>
      <c r="W176" s="33"/>
      <c r="X176" s="33"/>
      <c r="Y176" s="33"/>
      <c r="Z176" s="47"/>
      <c r="AA176" s="33"/>
      <c r="AB176" s="33"/>
      <c r="AC176" s="74" t="s">
        <v>211</v>
      </c>
      <c r="AD176" s="33"/>
      <c r="AE176" s="33"/>
      <c r="AF176" s="33"/>
    </row>
    <row r="177" spans="1:32" x14ac:dyDescent="0.25">
      <c r="A177" s="35" t="s">
        <v>227</v>
      </c>
      <c r="B177" s="74" t="s">
        <v>211</v>
      </c>
      <c r="C177" s="33"/>
      <c r="D177" s="33"/>
      <c r="E177" s="47"/>
      <c r="F177" s="33"/>
      <c r="G177" s="74" t="s">
        <v>211</v>
      </c>
      <c r="H177" s="33"/>
      <c r="I177" s="33"/>
      <c r="J177" s="33"/>
      <c r="K177" s="33"/>
      <c r="L177" s="47"/>
      <c r="M177" s="33"/>
      <c r="N177" s="33"/>
      <c r="O177" s="33"/>
      <c r="P177" s="33"/>
      <c r="Q177" s="33"/>
      <c r="R177" s="33"/>
      <c r="S177" s="47"/>
      <c r="T177" s="33"/>
      <c r="U177" s="33"/>
      <c r="V177" s="74" t="s">
        <v>211</v>
      </c>
      <c r="W177" s="33"/>
      <c r="X177" s="33"/>
      <c r="Y177" s="33"/>
      <c r="Z177" s="47"/>
      <c r="AA177" s="33"/>
      <c r="AB177" s="33"/>
      <c r="AC177" s="33"/>
      <c r="AD177" s="74" t="s">
        <v>211</v>
      </c>
      <c r="AE177" s="33"/>
      <c r="AF177" s="33"/>
    </row>
    <row r="178" spans="1:32" x14ac:dyDescent="0.25">
      <c r="A178" s="35" t="s">
        <v>213</v>
      </c>
      <c r="B178" s="33"/>
      <c r="C178" s="33"/>
      <c r="D178" s="33"/>
      <c r="E178" s="47"/>
      <c r="F178" s="33"/>
      <c r="G178" s="33"/>
      <c r="H178" s="33"/>
      <c r="I178" s="33"/>
      <c r="J178" s="33"/>
      <c r="K178" s="33"/>
      <c r="L178" s="47"/>
      <c r="M178" s="33"/>
      <c r="N178" s="33"/>
      <c r="O178" s="74" t="s">
        <v>211</v>
      </c>
      <c r="P178" s="33"/>
      <c r="Q178" s="33"/>
      <c r="R178" s="33"/>
      <c r="S178" s="47"/>
      <c r="T178" s="33"/>
      <c r="U178" s="33"/>
      <c r="V178" s="33"/>
      <c r="W178" s="74" t="s">
        <v>211</v>
      </c>
      <c r="X178" s="33"/>
      <c r="Y178" s="33"/>
      <c r="Z178" s="47"/>
      <c r="AA178" s="74" t="s">
        <v>212</v>
      </c>
      <c r="AB178" s="33"/>
      <c r="AC178" s="33"/>
      <c r="AD178" s="33"/>
      <c r="AE178" s="33"/>
      <c r="AF178" s="33"/>
    </row>
    <row r="181" spans="1:32" ht="18.75" x14ac:dyDescent="0.3">
      <c r="A181" s="22" t="s">
        <v>210</v>
      </c>
    </row>
    <row r="182" spans="1:32" x14ac:dyDescent="0.25">
      <c r="A182" s="36" t="s">
        <v>13</v>
      </c>
      <c r="B182" s="76" t="s">
        <v>11</v>
      </c>
      <c r="C182" s="76" t="s">
        <v>10</v>
      </c>
      <c r="D182" s="76" t="s">
        <v>12</v>
      </c>
      <c r="E182" s="55" t="s">
        <v>221</v>
      </c>
      <c r="F182" s="56" t="s">
        <v>184</v>
      </c>
      <c r="G182" s="75" t="s">
        <v>185</v>
      </c>
      <c r="I182" t="s">
        <v>439</v>
      </c>
    </row>
    <row r="183" spans="1:32" x14ac:dyDescent="0.25">
      <c r="A183" s="57" t="s">
        <v>231</v>
      </c>
      <c r="B183" s="40">
        <v>22</v>
      </c>
      <c r="C183" s="40">
        <v>23</v>
      </c>
      <c r="D183" s="40">
        <v>38</v>
      </c>
      <c r="E183" s="41">
        <v>11</v>
      </c>
      <c r="F183" s="42">
        <v>5</v>
      </c>
      <c r="G183" s="42">
        <v>0</v>
      </c>
      <c r="I183" cm="1">
        <f t="array" ref="I183">SUM(B183:C183+D183*2)</f>
        <v>197</v>
      </c>
    </row>
    <row r="184" spans="1:32" x14ac:dyDescent="0.25">
      <c r="A184" s="57" t="s">
        <v>233</v>
      </c>
      <c r="B184" s="40">
        <v>21</v>
      </c>
      <c r="C184" s="40">
        <v>22</v>
      </c>
      <c r="D184" s="40">
        <v>41</v>
      </c>
      <c r="E184" s="41">
        <v>9</v>
      </c>
      <c r="F184" s="42">
        <v>6</v>
      </c>
      <c r="G184" s="42">
        <v>1</v>
      </c>
      <c r="I184" cm="1">
        <f t="array" ref="I184">SUM(B184:C184+D184*2)</f>
        <v>207</v>
      </c>
    </row>
    <row r="185" spans="1:32" x14ac:dyDescent="0.25">
      <c r="A185" s="57" t="s">
        <v>226</v>
      </c>
      <c r="B185" s="40">
        <v>25</v>
      </c>
      <c r="C185" s="40">
        <v>24</v>
      </c>
      <c r="D185" s="40">
        <v>45</v>
      </c>
      <c r="E185" s="41">
        <v>9</v>
      </c>
      <c r="F185" s="42">
        <v>7</v>
      </c>
      <c r="G185" s="42">
        <v>1</v>
      </c>
      <c r="I185" cm="1">
        <f t="array" ref="I185">SUM(B185:C185+D185*2)</f>
        <v>229</v>
      </c>
    </row>
    <row r="186" spans="1:32" x14ac:dyDescent="0.25">
      <c r="A186" s="57" t="s">
        <v>232</v>
      </c>
      <c r="B186" s="40">
        <v>16</v>
      </c>
      <c r="C186" s="40">
        <v>24</v>
      </c>
      <c r="D186" s="40">
        <v>44</v>
      </c>
      <c r="E186" s="41">
        <v>10</v>
      </c>
      <c r="F186" s="42">
        <v>4</v>
      </c>
      <c r="G186" s="42">
        <v>0</v>
      </c>
      <c r="I186" cm="1">
        <f t="array" ref="I186">SUM(B186:C186+D186*2)</f>
        <v>216</v>
      </c>
    </row>
    <row r="187" spans="1:32" x14ac:dyDescent="0.25">
      <c r="A187" s="57" t="s">
        <v>229</v>
      </c>
      <c r="B187" s="40">
        <v>19</v>
      </c>
      <c r="C187" s="40">
        <v>27</v>
      </c>
      <c r="D187" s="40">
        <v>38</v>
      </c>
      <c r="E187" s="41">
        <v>10</v>
      </c>
      <c r="F187" s="42">
        <v>4</v>
      </c>
      <c r="G187" s="42">
        <v>0</v>
      </c>
      <c r="I187" cm="1">
        <f t="array" ref="I187">SUM(B187:C187+D187*2)</f>
        <v>198</v>
      </c>
    </row>
    <row r="188" spans="1:32" x14ac:dyDescent="0.25">
      <c r="A188" s="57" t="s">
        <v>235</v>
      </c>
      <c r="B188" s="40">
        <v>19</v>
      </c>
      <c r="C188" s="40">
        <v>20</v>
      </c>
      <c r="D188" s="40">
        <v>35</v>
      </c>
      <c r="E188" s="41">
        <v>9</v>
      </c>
      <c r="F188" s="42">
        <v>5</v>
      </c>
      <c r="G188" s="42">
        <v>0</v>
      </c>
      <c r="I188" cm="1">
        <f t="array" ref="I188">SUM(B188:C188+D188*2)</f>
        <v>179</v>
      </c>
    </row>
    <row r="189" spans="1:32" x14ac:dyDescent="0.25">
      <c r="A189" s="57" t="s">
        <v>228</v>
      </c>
      <c r="B189" s="40">
        <v>22</v>
      </c>
      <c r="C189" s="40">
        <v>20</v>
      </c>
      <c r="D189" s="40">
        <v>46</v>
      </c>
      <c r="E189" s="41">
        <v>14</v>
      </c>
      <c r="F189" s="42">
        <v>5</v>
      </c>
      <c r="G189" s="42">
        <v>0</v>
      </c>
      <c r="I189" cm="1">
        <f t="array" ref="I189">SUM(B189:C189+D189*2)</f>
        <v>226</v>
      </c>
    </row>
    <row r="190" spans="1:32" x14ac:dyDescent="0.25">
      <c r="A190" s="57" t="s">
        <v>234</v>
      </c>
      <c r="B190" s="40">
        <v>24</v>
      </c>
      <c r="C190" s="40">
        <v>19</v>
      </c>
      <c r="D190" s="40">
        <v>40</v>
      </c>
      <c r="E190" s="41">
        <v>11</v>
      </c>
      <c r="F190" s="42">
        <v>6</v>
      </c>
      <c r="G190" s="42">
        <v>1</v>
      </c>
      <c r="I190" cm="1">
        <f t="array" ref="I190">SUM(B190:C190+D190*2)</f>
        <v>203</v>
      </c>
    </row>
    <row r="191" spans="1:32" x14ac:dyDescent="0.25">
      <c r="A191" s="57" t="s">
        <v>230</v>
      </c>
      <c r="B191" s="40">
        <v>21</v>
      </c>
      <c r="C191" s="40">
        <v>16</v>
      </c>
      <c r="D191" s="40">
        <v>42</v>
      </c>
      <c r="E191" s="41">
        <v>9</v>
      </c>
      <c r="F191" s="42">
        <v>5</v>
      </c>
      <c r="G191" s="42">
        <v>0</v>
      </c>
      <c r="I191" cm="1">
        <f t="array" ref="I191">SUM(B191:C191+D191*2)</f>
        <v>205</v>
      </c>
    </row>
    <row r="192" spans="1:32" x14ac:dyDescent="0.25">
      <c r="A192" s="57" t="s">
        <v>227</v>
      </c>
      <c r="B192" s="40">
        <v>23</v>
      </c>
      <c r="C192" s="40">
        <v>19</v>
      </c>
      <c r="D192" s="40">
        <v>37</v>
      </c>
      <c r="E192" s="41">
        <v>8</v>
      </c>
      <c r="F192" s="42">
        <v>4</v>
      </c>
      <c r="G192" s="42">
        <v>1</v>
      </c>
      <c r="I192" cm="1">
        <f t="array" ref="I192">SUM(B192:C192+D192*2)</f>
        <v>190</v>
      </c>
    </row>
    <row r="193" spans="1:9" x14ac:dyDescent="0.25">
      <c r="A193" s="57" t="s">
        <v>213</v>
      </c>
      <c r="B193" s="40">
        <v>20</v>
      </c>
      <c r="C193" s="40">
        <v>18</v>
      </c>
      <c r="D193" s="40">
        <v>40</v>
      </c>
      <c r="E193" s="41">
        <v>8</v>
      </c>
      <c r="F193" s="42">
        <v>4</v>
      </c>
      <c r="G193" s="42">
        <v>0</v>
      </c>
      <c r="I193" cm="1">
        <f t="array" ref="I193">SUM(B193:C193+D193*2)</f>
        <v>198</v>
      </c>
    </row>
  </sheetData>
  <mergeCells count="6">
    <mergeCell ref="B165:AF165"/>
    <mergeCell ref="B105:AF105"/>
    <mergeCell ref="B15:AF15"/>
    <mergeCell ref="B45:AE45"/>
    <mergeCell ref="B75:AF75"/>
    <mergeCell ref="B135:AE135"/>
  </mergeCells>
  <printOptions horizontalCentered="1"/>
  <pageMargins left="0.2" right="0.2" top="0.5" bottom="0.5" header="0.3" footer="0.3"/>
  <pageSetup paperSize="9" scale="73" fitToHeight="0" orientation="landscape" r:id="rId1"/>
  <rowBreaks count="5" manualBreakCount="5">
    <brk id="30" max="38" man="1"/>
    <brk id="60" max="38" man="1"/>
    <brk id="90" max="38" man="1"/>
    <brk id="120" max="38" man="1"/>
    <brk id="150" max="3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81" r:id="rId4" name="Button 109">
              <controlPr defaultSize="0" print="0" autoFill="0" autoPict="0" macro="[0]!AnteprimaStampaPulita">
                <anchor moveWithCells="1" sizeWithCells="1">
                  <from>
                    <xdr:col>41</xdr:col>
                    <xdr:colOff>0</xdr:colOff>
                    <xdr:row>1</xdr:row>
                    <xdr:rowOff>0</xdr:rowOff>
                  </from>
                  <to>
                    <xdr:col>45</xdr:col>
                    <xdr:colOff>114300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6EF78-6ACB-496B-A39E-F1798DA4B2AE}">
  <sheetPr codeName="Foglio5">
    <pageSetUpPr fitToPage="1"/>
  </sheetPr>
  <dimension ref="A2:F791"/>
  <sheetViews>
    <sheetView topLeftCell="A457" zoomScale="60" zoomScaleNormal="60" workbookViewId="0">
      <selection activeCell="B14" sqref="B14:B16"/>
    </sheetView>
  </sheetViews>
  <sheetFormatPr defaultRowHeight="18" customHeight="1" x14ac:dyDescent="0.25"/>
  <cols>
    <col min="1" max="1" width="10.7109375" style="23" customWidth="1"/>
    <col min="2" max="2" width="12.7109375" style="23" customWidth="1"/>
    <col min="3" max="6" width="20.7109375" customWidth="1"/>
  </cols>
  <sheetData>
    <row r="2" spans="1:6" ht="18" customHeight="1" x14ac:dyDescent="0.25">
      <c r="C2" s="113" t="s">
        <v>1</v>
      </c>
      <c r="D2" s="113" t="s">
        <v>2</v>
      </c>
      <c r="E2" s="113" t="s">
        <v>239</v>
      </c>
      <c r="F2" s="113" t="s">
        <v>240</v>
      </c>
    </row>
    <row r="3" spans="1:6" ht="18" customHeight="1" x14ac:dyDescent="0.25">
      <c r="A3" s="124"/>
      <c r="B3" s="124"/>
      <c r="C3" s="114"/>
      <c r="D3" s="114"/>
      <c r="E3" s="114"/>
      <c r="F3" s="114"/>
    </row>
    <row r="4" spans="1:6" ht="18" customHeight="1" x14ac:dyDescent="0.25">
      <c r="A4" s="125"/>
      <c r="B4" s="125"/>
      <c r="C4" s="114"/>
      <c r="D4" s="114"/>
      <c r="E4" s="114"/>
      <c r="F4" s="114"/>
    </row>
    <row r="5" spans="1:6" ht="18" customHeight="1" x14ac:dyDescent="0.25">
      <c r="A5" s="126"/>
      <c r="B5" s="126"/>
      <c r="C5" s="114"/>
      <c r="D5" s="114"/>
      <c r="E5" s="114"/>
      <c r="F5" s="114"/>
    </row>
    <row r="6" spans="1:6" ht="18" customHeight="1" thickBot="1" x14ac:dyDescent="0.3">
      <c r="A6" s="127"/>
      <c r="B6" s="127"/>
      <c r="C6" s="114"/>
      <c r="D6" s="114"/>
      <c r="E6" s="114"/>
      <c r="F6" s="114"/>
    </row>
    <row r="7" spans="1:6" ht="18" customHeight="1" x14ac:dyDescent="0.25">
      <c r="A7" s="184" t="s">
        <v>247</v>
      </c>
      <c r="B7" s="186" t="s">
        <v>241</v>
      </c>
      <c r="C7" s="188" t="s">
        <v>226</v>
      </c>
      <c r="D7" s="188"/>
      <c r="E7" s="117" t="s">
        <v>234</v>
      </c>
      <c r="F7" s="118"/>
    </row>
    <row r="8" spans="1:6" ht="18" customHeight="1" x14ac:dyDescent="0.25">
      <c r="A8" s="185"/>
      <c r="B8" s="187"/>
      <c r="C8" s="189" t="s">
        <v>227</v>
      </c>
      <c r="D8" s="189"/>
      <c r="E8" s="116" t="s">
        <v>230</v>
      </c>
      <c r="F8" s="119"/>
    </row>
    <row r="9" spans="1:6" ht="18" customHeight="1" thickBot="1" x14ac:dyDescent="0.3">
      <c r="A9" s="179"/>
      <c r="B9" s="182"/>
      <c r="C9" s="98"/>
      <c r="D9" s="98"/>
      <c r="E9" s="96" t="s">
        <v>231</v>
      </c>
      <c r="F9" s="97"/>
    </row>
    <row r="10" spans="1:6" ht="18" customHeight="1" x14ac:dyDescent="0.25">
      <c r="A10" s="139" t="s">
        <v>248</v>
      </c>
      <c r="B10" s="142" t="s">
        <v>7</v>
      </c>
      <c r="C10" s="145" t="s">
        <v>226</v>
      </c>
      <c r="D10" s="145"/>
      <c r="E10" s="93"/>
      <c r="F10" s="94"/>
    </row>
    <row r="11" spans="1:6" ht="18" customHeight="1" x14ac:dyDescent="0.25">
      <c r="A11" s="140"/>
      <c r="B11" s="143"/>
      <c r="C11" s="161" t="s">
        <v>234</v>
      </c>
      <c r="D11" s="161"/>
      <c r="E11" s="92"/>
      <c r="F11" s="95"/>
    </row>
    <row r="12" spans="1:6" ht="18" customHeight="1" x14ac:dyDescent="0.25">
      <c r="A12" s="140"/>
      <c r="B12" s="143"/>
      <c r="C12" s="161" t="s">
        <v>230</v>
      </c>
      <c r="D12" s="161"/>
      <c r="E12" s="92"/>
      <c r="F12" s="95"/>
    </row>
    <row r="13" spans="1:6" ht="18" customHeight="1" thickBot="1" x14ac:dyDescent="0.3">
      <c r="A13" s="141"/>
      <c r="B13" s="144"/>
      <c r="C13" s="183" t="s">
        <v>227</v>
      </c>
      <c r="D13" s="183"/>
      <c r="E13" s="96"/>
      <c r="F13" s="97"/>
    </row>
    <row r="14" spans="1:6" ht="18" customHeight="1" x14ac:dyDescent="0.25">
      <c r="A14" s="146" t="s">
        <v>249</v>
      </c>
      <c r="B14" s="148" t="s">
        <v>8</v>
      </c>
      <c r="C14" s="145" t="s">
        <v>234</v>
      </c>
      <c r="D14" s="145"/>
      <c r="E14" s="93"/>
      <c r="F14" s="94"/>
    </row>
    <row r="15" spans="1:6" ht="18" customHeight="1" thickBot="1" x14ac:dyDescent="0.3">
      <c r="A15" s="147"/>
      <c r="B15" s="149"/>
      <c r="C15" s="183" t="s">
        <v>230</v>
      </c>
      <c r="D15" s="183"/>
      <c r="E15" s="96"/>
      <c r="F15" s="97"/>
    </row>
    <row r="16" spans="1:6" ht="18" customHeight="1" x14ac:dyDescent="0.25">
      <c r="B16" s="115" t="s">
        <v>242</v>
      </c>
      <c r="C16" s="150" t="s">
        <v>231</v>
      </c>
      <c r="D16" s="150"/>
      <c r="E16" s="150"/>
      <c r="F16" s="150"/>
    </row>
    <row r="19" spans="1:6" ht="18" customHeight="1" thickBot="1" x14ac:dyDescent="0.3">
      <c r="C19" s="113" t="s">
        <v>1</v>
      </c>
      <c r="D19" s="113" t="s">
        <v>2</v>
      </c>
      <c r="E19" s="113" t="s">
        <v>239</v>
      </c>
      <c r="F19" s="113" t="s">
        <v>240</v>
      </c>
    </row>
    <row r="20" spans="1:6" ht="18" customHeight="1" x14ac:dyDescent="0.25">
      <c r="A20" s="151" t="s">
        <v>250</v>
      </c>
      <c r="B20" s="154" t="s">
        <v>243</v>
      </c>
      <c r="C20" s="145" t="s">
        <v>231</v>
      </c>
      <c r="D20" s="145"/>
      <c r="E20" s="93" t="s">
        <v>213</v>
      </c>
      <c r="F20" s="94" t="s">
        <v>226</v>
      </c>
    </row>
    <row r="21" spans="1:6" ht="18" customHeight="1" x14ac:dyDescent="0.25">
      <c r="A21" s="152"/>
      <c r="B21" s="155"/>
      <c r="C21" s="157" t="s">
        <v>228</v>
      </c>
      <c r="D21" s="157"/>
      <c r="E21" s="120"/>
      <c r="F21" s="121"/>
    </row>
    <row r="22" spans="1:6" ht="18" customHeight="1" x14ac:dyDescent="0.25">
      <c r="A22" s="152"/>
      <c r="B22" s="155"/>
      <c r="C22" s="120" t="s">
        <v>226</v>
      </c>
      <c r="D22" s="120" t="s">
        <v>232</v>
      </c>
      <c r="E22" s="120"/>
      <c r="F22" s="121"/>
    </row>
    <row r="23" spans="1:6" ht="18" customHeight="1" thickBot="1" x14ac:dyDescent="0.3">
      <c r="A23" s="153"/>
      <c r="B23" s="156"/>
      <c r="C23" s="122" t="s">
        <v>227</v>
      </c>
      <c r="D23" s="122" t="s">
        <v>229</v>
      </c>
      <c r="E23" s="122"/>
      <c r="F23" s="123"/>
    </row>
    <row r="24" spans="1:6" ht="18" customHeight="1" x14ac:dyDescent="0.25">
      <c r="A24" s="168" t="s">
        <v>251</v>
      </c>
      <c r="B24" s="158" t="s">
        <v>244</v>
      </c>
      <c r="C24" s="145" t="s">
        <v>231</v>
      </c>
      <c r="D24" s="145"/>
      <c r="E24" s="93" t="s">
        <v>227</v>
      </c>
      <c r="F24" s="94"/>
    </row>
    <row r="25" spans="1:6" ht="18" customHeight="1" x14ac:dyDescent="0.25">
      <c r="A25" s="169"/>
      <c r="B25" s="159"/>
      <c r="C25" s="161" t="s">
        <v>235</v>
      </c>
      <c r="D25" s="161"/>
      <c r="E25" s="92" t="s">
        <v>213</v>
      </c>
      <c r="F25" s="95"/>
    </row>
    <row r="26" spans="1:6" ht="18" customHeight="1" x14ac:dyDescent="0.25">
      <c r="A26" s="169"/>
      <c r="B26" s="159"/>
      <c r="C26" s="92" t="s">
        <v>226</v>
      </c>
      <c r="D26" s="92" t="s">
        <v>232</v>
      </c>
      <c r="E26" s="92"/>
      <c r="F26" s="95"/>
    </row>
    <row r="27" spans="1:6" ht="18" customHeight="1" thickBot="1" x14ac:dyDescent="0.3">
      <c r="A27" s="170"/>
      <c r="B27" s="160"/>
      <c r="C27" s="96" t="s">
        <v>227</v>
      </c>
      <c r="D27" s="96" t="s">
        <v>229</v>
      </c>
      <c r="E27" s="96"/>
      <c r="F27" s="97"/>
    </row>
    <row r="28" spans="1:6" ht="18" customHeight="1" x14ac:dyDescent="0.25">
      <c r="A28" s="162" t="s">
        <v>252</v>
      </c>
      <c r="B28" s="165" t="s">
        <v>245</v>
      </c>
      <c r="C28" s="145" t="s">
        <v>232</v>
      </c>
      <c r="D28" s="145"/>
      <c r="E28" s="93" t="s">
        <v>231</v>
      </c>
      <c r="F28" s="94"/>
    </row>
    <row r="29" spans="1:6" ht="18" customHeight="1" x14ac:dyDescent="0.25">
      <c r="A29" s="163"/>
      <c r="B29" s="166"/>
      <c r="C29" s="161" t="s">
        <v>229</v>
      </c>
      <c r="D29" s="161"/>
      <c r="E29" s="92" t="s">
        <v>235</v>
      </c>
      <c r="F29" s="95"/>
    </row>
    <row r="30" spans="1:6" ht="18" customHeight="1" x14ac:dyDescent="0.25">
      <c r="A30" s="163"/>
      <c r="B30" s="166"/>
      <c r="C30" s="92" t="s">
        <v>226</v>
      </c>
      <c r="D30" s="92" t="s">
        <v>231</v>
      </c>
      <c r="E30" s="92" t="s">
        <v>213</v>
      </c>
      <c r="F30" s="95"/>
    </row>
    <row r="31" spans="1:6" ht="18" customHeight="1" thickBot="1" x14ac:dyDescent="0.3">
      <c r="A31" s="164"/>
      <c r="B31" s="167"/>
      <c r="C31" s="96" t="s">
        <v>227</v>
      </c>
      <c r="D31" s="96" t="s">
        <v>235</v>
      </c>
      <c r="E31" s="96"/>
      <c r="F31" s="97"/>
    </row>
    <row r="32" spans="1:6" ht="18" customHeight="1" x14ac:dyDescent="0.25">
      <c r="A32" s="171" t="s">
        <v>253</v>
      </c>
      <c r="B32" s="174" t="s">
        <v>246</v>
      </c>
      <c r="C32" s="145" t="s">
        <v>232</v>
      </c>
      <c r="D32" s="145"/>
      <c r="E32" s="93" t="s">
        <v>233</v>
      </c>
      <c r="F32" s="94"/>
    </row>
    <row r="33" spans="1:6" ht="18" customHeight="1" x14ac:dyDescent="0.25">
      <c r="A33" s="172"/>
      <c r="B33" s="175"/>
      <c r="C33" s="161" t="s">
        <v>229</v>
      </c>
      <c r="D33" s="161"/>
      <c r="E33" s="92" t="s">
        <v>230</v>
      </c>
      <c r="F33" s="95"/>
    </row>
    <row r="34" spans="1:6" ht="18" customHeight="1" x14ac:dyDescent="0.25">
      <c r="A34" s="172"/>
      <c r="B34" s="175"/>
      <c r="C34" s="92" t="s">
        <v>226</v>
      </c>
      <c r="D34" s="92" t="s">
        <v>233</v>
      </c>
      <c r="E34" s="92" t="s">
        <v>213</v>
      </c>
      <c r="F34" s="95"/>
    </row>
    <row r="35" spans="1:6" ht="18" customHeight="1" thickBot="1" x14ac:dyDescent="0.3">
      <c r="A35" s="173"/>
      <c r="B35" s="176"/>
      <c r="C35" s="96" t="s">
        <v>227</v>
      </c>
      <c r="D35" s="96" t="s">
        <v>230</v>
      </c>
      <c r="E35" s="96"/>
      <c r="F35" s="97"/>
    </row>
    <row r="36" spans="1:6" ht="18" customHeight="1" x14ac:dyDescent="0.25">
      <c r="A36" s="177" t="s">
        <v>254</v>
      </c>
      <c r="B36" s="180" t="s">
        <v>241</v>
      </c>
      <c r="C36" s="145" t="s">
        <v>233</v>
      </c>
      <c r="D36" s="145"/>
      <c r="E36" s="93" t="s">
        <v>228</v>
      </c>
      <c r="F36" s="94"/>
    </row>
    <row r="37" spans="1:6" ht="18" customHeight="1" x14ac:dyDescent="0.25">
      <c r="A37" s="178"/>
      <c r="B37" s="181"/>
      <c r="C37" s="161" t="s">
        <v>230</v>
      </c>
      <c r="D37" s="161"/>
      <c r="E37" s="92" t="s">
        <v>234</v>
      </c>
      <c r="F37" s="95"/>
    </row>
    <row r="38" spans="1:6" ht="18" customHeight="1" x14ac:dyDescent="0.25">
      <c r="A38" s="178"/>
      <c r="B38" s="181"/>
      <c r="C38" s="92" t="s">
        <v>226</v>
      </c>
      <c r="D38" s="92" t="s">
        <v>228</v>
      </c>
      <c r="E38" s="92" t="s">
        <v>213</v>
      </c>
      <c r="F38" s="95"/>
    </row>
    <row r="39" spans="1:6" ht="18" customHeight="1" thickBot="1" x14ac:dyDescent="0.3">
      <c r="A39" s="179"/>
      <c r="B39" s="182"/>
      <c r="C39" s="96" t="s">
        <v>227</v>
      </c>
      <c r="D39" s="96" t="s">
        <v>234</v>
      </c>
      <c r="E39" s="96"/>
      <c r="F39" s="97"/>
    </row>
    <row r="40" spans="1:6" ht="18" customHeight="1" x14ac:dyDescent="0.25">
      <c r="A40" s="139" t="s">
        <v>255</v>
      </c>
      <c r="B40" s="142" t="s">
        <v>7</v>
      </c>
      <c r="C40" s="145" t="s">
        <v>233</v>
      </c>
      <c r="D40" s="145"/>
      <c r="E40" s="93"/>
      <c r="F40" s="94"/>
    </row>
    <row r="41" spans="1:6" ht="18" customHeight="1" x14ac:dyDescent="0.25">
      <c r="A41" s="140"/>
      <c r="B41" s="143"/>
      <c r="C41" s="161" t="s">
        <v>228</v>
      </c>
      <c r="D41" s="161"/>
      <c r="E41" s="92"/>
      <c r="F41" s="95"/>
    </row>
    <row r="42" spans="1:6" ht="18" customHeight="1" x14ac:dyDescent="0.25">
      <c r="A42" s="140"/>
      <c r="B42" s="143"/>
      <c r="C42" s="161" t="s">
        <v>230</v>
      </c>
      <c r="D42" s="161"/>
      <c r="E42" s="92"/>
      <c r="F42" s="95"/>
    </row>
    <row r="43" spans="1:6" ht="18" customHeight="1" thickBot="1" x14ac:dyDescent="0.3">
      <c r="A43" s="141"/>
      <c r="B43" s="144"/>
      <c r="C43" s="96" t="s">
        <v>234</v>
      </c>
      <c r="D43" s="96" t="s">
        <v>231</v>
      </c>
      <c r="E43" s="96"/>
      <c r="F43" s="97"/>
    </row>
    <row r="44" spans="1:6" ht="18" customHeight="1" x14ac:dyDescent="0.25">
      <c r="A44" s="146" t="s">
        <v>256</v>
      </c>
      <c r="B44" s="148" t="s">
        <v>8</v>
      </c>
      <c r="C44" s="145" t="s">
        <v>228</v>
      </c>
      <c r="D44" s="145"/>
      <c r="E44" s="93"/>
      <c r="F44" s="94"/>
    </row>
    <row r="45" spans="1:6" ht="18" customHeight="1" thickBot="1" x14ac:dyDescent="0.3">
      <c r="A45" s="147"/>
      <c r="B45" s="149"/>
      <c r="C45" s="183" t="s">
        <v>234</v>
      </c>
      <c r="D45" s="183"/>
      <c r="E45" s="96"/>
      <c r="F45" s="97"/>
    </row>
    <row r="46" spans="1:6" ht="18" customHeight="1" x14ac:dyDescent="0.25">
      <c r="B46" s="115" t="s">
        <v>242</v>
      </c>
      <c r="C46" s="150" t="s">
        <v>213</v>
      </c>
      <c r="D46" s="150"/>
      <c r="E46" s="150"/>
      <c r="F46" s="150"/>
    </row>
    <row r="49" spans="1:6" ht="18" customHeight="1" thickBot="1" x14ac:dyDescent="0.3">
      <c r="C49" s="113" t="s">
        <v>1</v>
      </c>
      <c r="D49" s="113" t="s">
        <v>2</v>
      </c>
      <c r="E49" s="113" t="s">
        <v>239</v>
      </c>
      <c r="F49" s="113" t="s">
        <v>240</v>
      </c>
    </row>
    <row r="50" spans="1:6" ht="18" customHeight="1" x14ac:dyDescent="0.25">
      <c r="A50" s="151" t="s">
        <v>257</v>
      </c>
      <c r="B50" s="154" t="s">
        <v>243</v>
      </c>
      <c r="C50" s="145" t="s">
        <v>229</v>
      </c>
      <c r="D50" s="145"/>
      <c r="E50" s="93" t="s">
        <v>227</v>
      </c>
      <c r="F50" s="94" t="s">
        <v>233</v>
      </c>
    </row>
    <row r="51" spans="1:6" ht="18" customHeight="1" x14ac:dyDescent="0.25">
      <c r="A51" s="152"/>
      <c r="B51" s="155"/>
      <c r="C51" s="157" t="s">
        <v>213</v>
      </c>
      <c r="D51" s="157"/>
      <c r="E51" s="120"/>
      <c r="F51" s="121"/>
    </row>
    <row r="52" spans="1:6" ht="18" customHeight="1" x14ac:dyDescent="0.25">
      <c r="A52" s="152"/>
      <c r="B52" s="155"/>
      <c r="C52" s="120" t="s">
        <v>233</v>
      </c>
      <c r="D52" s="120" t="s">
        <v>226</v>
      </c>
      <c r="E52" s="120"/>
      <c r="F52" s="121"/>
    </row>
    <row r="53" spans="1:6" ht="18" customHeight="1" thickBot="1" x14ac:dyDescent="0.3">
      <c r="A53" s="153"/>
      <c r="B53" s="156"/>
      <c r="C53" s="122" t="s">
        <v>230</v>
      </c>
      <c r="D53" s="122" t="s">
        <v>232</v>
      </c>
      <c r="E53" s="122"/>
      <c r="F53" s="123"/>
    </row>
    <row r="54" spans="1:6" ht="18" customHeight="1" x14ac:dyDescent="0.25">
      <c r="A54" s="168" t="s">
        <v>258</v>
      </c>
      <c r="B54" s="158" t="s">
        <v>244</v>
      </c>
      <c r="C54" s="145" t="s">
        <v>229</v>
      </c>
      <c r="D54" s="145"/>
      <c r="E54" s="93" t="s">
        <v>230</v>
      </c>
      <c r="F54" s="94"/>
    </row>
    <row r="55" spans="1:6" ht="18" customHeight="1" x14ac:dyDescent="0.25">
      <c r="A55" s="169"/>
      <c r="B55" s="159"/>
      <c r="C55" s="161" t="s">
        <v>213</v>
      </c>
      <c r="D55" s="161"/>
      <c r="E55" s="92" t="s">
        <v>227</v>
      </c>
      <c r="F55" s="95"/>
    </row>
    <row r="56" spans="1:6" ht="18" customHeight="1" x14ac:dyDescent="0.25">
      <c r="A56" s="169"/>
      <c r="B56" s="159"/>
      <c r="C56" s="92" t="s">
        <v>233</v>
      </c>
      <c r="D56" s="92" t="s">
        <v>226</v>
      </c>
      <c r="E56" s="92"/>
      <c r="F56" s="95"/>
    </row>
    <row r="57" spans="1:6" ht="18" customHeight="1" thickBot="1" x14ac:dyDescent="0.3">
      <c r="A57" s="170"/>
      <c r="B57" s="160"/>
      <c r="C57" s="96" t="s">
        <v>230</v>
      </c>
      <c r="D57" s="96" t="s">
        <v>232</v>
      </c>
      <c r="E57" s="96"/>
      <c r="F57" s="97"/>
    </row>
    <row r="58" spans="1:6" ht="18" customHeight="1" x14ac:dyDescent="0.25">
      <c r="A58" s="162" t="s">
        <v>259</v>
      </c>
      <c r="B58" s="165" t="s">
        <v>245</v>
      </c>
      <c r="C58" s="145" t="s">
        <v>226</v>
      </c>
      <c r="D58" s="145"/>
      <c r="E58" s="93" t="s">
        <v>229</v>
      </c>
      <c r="F58" s="94"/>
    </row>
    <row r="59" spans="1:6" ht="18" customHeight="1" x14ac:dyDescent="0.25">
      <c r="A59" s="163"/>
      <c r="B59" s="166"/>
      <c r="C59" s="161" t="s">
        <v>232</v>
      </c>
      <c r="D59" s="161"/>
      <c r="E59" s="92" t="s">
        <v>213</v>
      </c>
      <c r="F59" s="95"/>
    </row>
    <row r="60" spans="1:6" ht="18" customHeight="1" x14ac:dyDescent="0.25">
      <c r="A60" s="163"/>
      <c r="B60" s="166"/>
      <c r="C60" s="92" t="s">
        <v>233</v>
      </c>
      <c r="D60" s="92" t="s">
        <v>229</v>
      </c>
      <c r="E60" s="92" t="s">
        <v>227</v>
      </c>
      <c r="F60" s="95"/>
    </row>
    <row r="61" spans="1:6" ht="18" customHeight="1" thickBot="1" x14ac:dyDescent="0.3">
      <c r="A61" s="164"/>
      <c r="B61" s="167"/>
      <c r="C61" s="96" t="s">
        <v>230</v>
      </c>
      <c r="D61" s="96" t="s">
        <v>213</v>
      </c>
      <c r="E61" s="96"/>
      <c r="F61" s="97"/>
    </row>
    <row r="62" spans="1:6" ht="18" customHeight="1" x14ac:dyDescent="0.25">
      <c r="A62" s="171" t="s">
        <v>260</v>
      </c>
      <c r="B62" s="174" t="s">
        <v>246</v>
      </c>
      <c r="C62" s="145" t="s">
        <v>226</v>
      </c>
      <c r="D62" s="145"/>
      <c r="E62" s="93" t="s">
        <v>231</v>
      </c>
      <c r="F62" s="94"/>
    </row>
    <row r="63" spans="1:6" ht="18" customHeight="1" x14ac:dyDescent="0.25">
      <c r="A63" s="172"/>
      <c r="B63" s="175"/>
      <c r="C63" s="161" t="s">
        <v>232</v>
      </c>
      <c r="D63" s="161"/>
      <c r="E63" s="92" t="s">
        <v>234</v>
      </c>
      <c r="F63" s="95"/>
    </row>
    <row r="64" spans="1:6" ht="18" customHeight="1" x14ac:dyDescent="0.25">
      <c r="A64" s="172"/>
      <c r="B64" s="175"/>
      <c r="C64" s="92" t="s">
        <v>233</v>
      </c>
      <c r="D64" s="92" t="s">
        <v>231</v>
      </c>
      <c r="E64" s="92" t="s">
        <v>227</v>
      </c>
      <c r="F64" s="95"/>
    </row>
    <row r="65" spans="1:6" ht="18" customHeight="1" thickBot="1" x14ac:dyDescent="0.3">
      <c r="A65" s="173"/>
      <c r="B65" s="176"/>
      <c r="C65" s="96" t="s">
        <v>230</v>
      </c>
      <c r="D65" s="96" t="s">
        <v>234</v>
      </c>
      <c r="E65" s="96"/>
      <c r="F65" s="97"/>
    </row>
    <row r="66" spans="1:6" ht="18" customHeight="1" x14ac:dyDescent="0.25">
      <c r="A66" s="177" t="s">
        <v>261</v>
      </c>
      <c r="B66" s="180" t="s">
        <v>241</v>
      </c>
      <c r="C66" s="145" t="s">
        <v>231</v>
      </c>
      <c r="D66" s="145"/>
      <c r="E66" s="93" t="s">
        <v>235</v>
      </c>
      <c r="F66" s="94"/>
    </row>
    <row r="67" spans="1:6" ht="18" customHeight="1" x14ac:dyDescent="0.25">
      <c r="A67" s="178"/>
      <c r="B67" s="181"/>
      <c r="C67" s="161" t="s">
        <v>234</v>
      </c>
      <c r="D67" s="161"/>
      <c r="E67" s="92" t="s">
        <v>228</v>
      </c>
      <c r="F67" s="95"/>
    </row>
    <row r="68" spans="1:6" ht="18" customHeight="1" x14ac:dyDescent="0.25">
      <c r="A68" s="178"/>
      <c r="B68" s="181"/>
      <c r="C68" s="92" t="s">
        <v>233</v>
      </c>
      <c r="D68" s="92" t="s">
        <v>235</v>
      </c>
      <c r="E68" s="92" t="s">
        <v>227</v>
      </c>
      <c r="F68" s="95"/>
    </row>
    <row r="69" spans="1:6" ht="18" customHeight="1" thickBot="1" x14ac:dyDescent="0.3">
      <c r="A69" s="179"/>
      <c r="B69" s="182"/>
      <c r="C69" s="96" t="s">
        <v>230</v>
      </c>
      <c r="D69" s="96" t="s">
        <v>228</v>
      </c>
      <c r="E69" s="96"/>
      <c r="F69" s="97"/>
    </row>
    <row r="70" spans="1:6" ht="18" customHeight="1" x14ac:dyDescent="0.25">
      <c r="A70" s="139" t="s">
        <v>262</v>
      </c>
      <c r="B70" s="142" t="s">
        <v>7</v>
      </c>
      <c r="C70" s="145" t="s">
        <v>231</v>
      </c>
      <c r="D70" s="145"/>
      <c r="E70" s="93"/>
      <c r="F70" s="94"/>
    </row>
    <row r="71" spans="1:6" ht="18" customHeight="1" x14ac:dyDescent="0.25">
      <c r="A71" s="140"/>
      <c r="B71" s="143"/>
      <c r="C71" s="161" t="s">
        <v>235</v>
      </c>
      <c r="D71" s="161"/>
      <c r="E71" s="92"/>
      <c r="F71" s="95"/>
    </row>
    <row r="72" spans="1:6" ht="18" customHeight="1" x14ac:dyDescent="0.25">
      <c r="A72" s="140"/>
      <c r="B72" s="143"/>
      <c r="C72" s="161" t="s">
        <v>228</v>
      </c>
      <c r="D72" s="161"/>
      <c r="E72" s="92"/>
      <c r="F72" s="95"/>
    </row>
    <row r="73" spans="1:6" ht="18" customHeight="1" thickBot="1" x14ac:dyDescent="0.3">
      <c r="A73" s="141"/>
      <c r="B73" s="144"/>
      <c r="C73" s="183" t="s">
        <v>234</v>
      </c>
      <c r="D73" s="183"/>
      <c r="E73" s="96"/>
      <c r="F73" s="97"/>
    </row>
    <row r="74" spans="1:6" ht="18" customHeight="1" x14ac:dyDescent="0.25">
      <c r="A74" s="146" t="s">
        <v>263</v>
      </c>
      <c r="B74" s="148" t="s">
        <v>8</v>
      </c>
      <c r="C74" s="145" t="s">
        <v>226</v>
      </c>
      <c r="D74" s="145"/>
      <c r="E74" s="93"/>
      <c r="F74" s="94"/>
    </row>
    <row r="75" spans="1:6" ht="18" customHeight="1" thickBot="1" x14ac:dyDescent="0.3">
      <c r="A75" s="147"/>
      <c r="B75" s="149"/>
      <c r="C75" s="183" t="s">
        <v>235</v>
      </c>
      <c r="D75" s="183"/>
      <c r="E75" s="96"/>
      <c r="F75" s="97"/>
    </row>
    <row r="76" spans="1:6" ht="18" customHeight="1" x14ac:dyDescent="0.25">
      <c r="B76" s="115" t="s">
        <v>242</v>
      </c>
      <c r="C76" s="150" t="s">
        <v>227</v>
      </c>
      <c r="D76" s="150"/>
      <c r="E76" s="150"/>
      <c r="F76" s="150"/>
    </row>
    <row r="79" spans="1:6" ht="18" customHeight="1" thickBot="1" x14ac:dyDescent="0.3">
      <c r="C79" s="113" t="s">
        <v>1</v>
      </c>
      <c r="D79" s="113" t="s">
        <v>2</v>
      </c>
      <c r="E79" s="113" t="s">
        <v>239</v>
      </c>
      <c r="F79" s="113" t="s">
        <v>240</v>
      </c>
    </row>
    <row r="80" spans="1:6" ht="18" customHeight="1" x14ac:dyDescent="0.25">
      <c r="A80" s="151" t="s">
        <v>264</v>
      </c>
      <c r="B80" s="154" t="s">
        <v>243</v>
      </c>
      <c r="C80" s="145" t="s">
        <v>232</v>
      </c>
      <c r="D80" s="145"/>
      <c r="E80" s="93" t="s">
        <v>230</v>
      </c>
      <c r="F80" s="94" t="s">
        <v>231</v>
      </c>
    </row>
    <row r="81" spans="1:6" ht="18" customHeight="1" x14ac:dyDescent="0.25">
      <c r="A81" s="152"/>
      <c r="B81" s="155"/>
      <c r="C81" s="157" t="s">
        <v>227</v>
      </c>
      <c r="D81" s="157"/>
      <c r="E81" s="120"/>
      <c r="F81" s="121"/>
    </row>
    <row r="82" spans="1:6" ht="18" customHeight="1" x14ac:dyDescent="0.25">
      <c r="A82" s="152"/>
      <c r="B82" s="155"/>
      <c r="C82" s="120" t="s">
        <v>231</v>
      </c>
      <c r="D82" s="120" t="s">
        <v>233</v>
      </c>
      <c r="E82" s="120"/>
      <c r="F82" s="121"/>
    </row>
    <row r="83" spans="1:6" ht="18" customHeight="1" thickBot="1" x14ac:dyDescent="0.3">
      <c r="A83" s="153"/>
      <c r="B83" s="156"/>
      <c r="C83" s="122" t="s">
        <v>234</v>
      </c>
      <c r="D83" s="122" t="s">
        <v>226</v>
      </c>
      <c r="E83" s="122"/>
      <c r="F83" s="123"/>
    </row>
    <row r="84" spans="1:6" ht="18" customHeight="1" x14ac:dyDescent="0.25">
      <c r="A84" s="168" t="s">
        <v>265</v>
      </c>
      <c r="B84" s="158" t="s">
        <v>244</v>
      </c>
      <c r="C84" s="145" t="s">
        <v>232</v>
      </c>
      <c r="D84" s="145"/>
      <c r="E84" s="93" t="s">
        <v>234</v>
      </c>
      <c r="F84" s="94"/>
    </row>
    <row r="85" spans="1:6" ht="18" customHeight="1" x14ac:dyDescent="0.25">
      <c r="A85" s="169"/>
      <c r="B85" s="159"/>
      <c r="C85" s="161" t="s">
        <v>227</v>
      </c>
      <c r="D85" s="161"/>
      <c r="E85" s="92" t="s">
        <v>230</v>
      </c>
      <c r="F85" s="95"/>
    </row>
    <row r="86" spans="1:6" ht="18" customHeight="1" x14ac:dyDescent="0.25">
      <c r="A86" s="169"/>
      <c r="B86" s="159"/>
      <c r="C86" s="92" t="s">
        <v>231</v>
      </c>
      <c r="D86" s="92" t="s">
        <v>233</v>
      </c>
      <c r="E86" s="92"/>
      <c r="F86" s="95"/>
    </row>
    <row r="87" spans="1:6" ht="18" customHeight="1" thickBot="1" x14ac:dyDescent="0.3">
      <c r="A87" s="170"/>
      <c r="B87" s="160"/>
      <c r="C87" s="96" t="s">
        <v>234</v>
      </c>
      <c r="D87" s="96" t="s">
        <v>226</v>
      </c>
      <c r="E87" s="96"/>
      <c r="F87" s="97"/>
    </row>
    <row r="88" spans="1:6" ht="18" customHeight="1" x14ac:dyDescent="0.25">
      <c r="A88" s="162" t="s">
        <v>266</v>
      </c>
      <c r="B88" s="165" t="s">
        <v>245</v>
      </c>
      <c r="C88" s="145" t="s">
        <v>233</v>
      </c>
      <c r="D88" s="145"/>
      <c r="E88" s="93" t="s">
        <v>232</v>
      </c>
      <c r="F88" s="94"/>
    </row>
    <row r="89" spans="1:6" ht="18" customHeight="1" x14ac:dyDescent="0.25">
      <c r="A89" s="163"/>
      <c r="B89" s="166"/>
      <c r="C89" s="161" t="s">
        <v>226</v>
      </c>
      <c r="D89" s="161"/>
      <c r="E89" s="92" t="s">
        <v>227</v>
      </c>
      <c r="F89" s="95"/>
    </row>
    <row r="90" spans="1:6" ht="18" customHeight="1" x14ac:dyDescent="0.25">
      <c r="A90" s="163"/>
      <c r="B90" s="166"/>
      <c r="C90" s="92" t="s">
        <v>231</v>
      </c>
      <c r="D90" s="92" t="s">
        <v>232</v>
      </c>
      <c r="E90" s="92" t="s">
        <v>230</v>
      </c>
      <c r="F90" s="95"/>
    </row>
    <row r="91" spans="1:6" ht="18" customHeight="1" thickBot="1" x14ac:dyDescent="0.3">
      <c r="A91" s="164"/>
      <c r="B91" s="167"/>
      <c r="C91" s="96" t="s">
        <v>234</v>
      </c>
      <c r="D91" s="96" t="s">
        <v>227</v>
      </c>
      <c r="E91" s="96"/>
      <c r="F91" s="97"/>
    </row>
    <row r="92" spans="1:6" ht="18" customHeight="1" x14ac:dyDescent="0.25">
      <c r="A92" s="171" t="s">
        <v>267</v>
      </c>
      <c r="B92" s="174" t="s">
        <v>246</v>
      </c>
      <c r="C92" s="145" t="s">
        <v>231</v>
      </c>
      <c r="D92" s="145"/>
      <c r="E92" s="93" t="s">
        <v>228</v>
      </c>
      <c r="F92" s="94"/>
    </row>
    <row r="93" spans="1:6" ht="18" customHeight="1" x14ac:dyDescent="0.25">
      <c r="A93" s="172"/>
      <c r="B93" s="175"/>
      <c r="C93" s="161" t="s">
        <v>233</v>
      </c>
      <c r="D93" s="161"/>
      <c r="E93" s="92" t="s">
        <v>213</v>
      </c>
      <c r="F93" s="95"/>
    </row>
    <row r="94" spans="1:6" ht="18" customHeight="1" x14ac:dyDescent="0.25">
      <c r="A94" s="172"/>
      <c r="B94" s="175"/>
      <c r="C94" s="161" t="s">
        <v>228</v>
      </c>
      <c r="D94" s="161"/>
      <c r="E94" s="92" t="s">
        <v>230</v>
      </c>
      <c r="F94" s="95"/>
    </row>
    <row r="95" spans="1:6" ht="18" customHeight="1" thickBot="1" x14ac:dyDescent="0.3">
      <c r="A95" s="173"/>
      <c r="B95" s="176"/>
      <c r="C95" s="96" t="s">
        <v>234</v>
      </c>
      <c r="D95" s="96" t="s">
        <v>213</v>
      </c>
      <c r="E95" s="96"/>
      <c r="F95" s="97"/>
    </row>
    <row r="96" spans="1:6" ht="18" customHeight="1" x14ac:dyDescent="0.25">
      <c r="A96" s="177" t="s">
        <v>268</v>
      </c>
      <c r="B96" s="180" t="s">
        <v>241</v>
      </c>
      <c r="C96" s="145" t="s">
        <v>228</v>
      </c>
      <c r="D96" s="145"/>
      <c r="E96" s="93" t="s">
        <v>229</v>
      </c>
      <c r="F96" s="94"/>
    </row>
    <row r="97" spans="1:6" ht="18" customHeight="1" x14ac:dyDescent="0.25">
      <c r="A97" s="178"/>
      <c r="B97" s="181"/>
      <c r="C97" s="161" t="s">
        <v>213</v>
      </c>
      <c r="D97" s="161"/>
      <c r="E97" s="92" t="s">
        <v>235</v>
      </c>
      <c r="F97" s="95"/>
    </row>
    <row r="98" spans="1:6" ht="18" customHeight="1" x14ac:dyDescent="0.25">
      <c r="A98" s="178"/>
      <c r="B98" s="181"/>
      <c r="C98" s="92" t="s">
        <v>231</v>
      </c>
      <c r="D98" s="92" t="s">
        <v>229</v>
      </c>
      <c r="E98" s="92" t="s">
        <v>230</v>
      </c>
      <c r="F98" s="95"/>
    </row>
    <row r="99" spans="1:6" ht="18" customHeight="1" thickBot="1" x14ac:dyDescent="0.3">
      <c r="A99" s="179"/>
      <c r="B99" s="182"/>
      <c r="C99" s="96" t="s">
        <v>234</v>
      </c>
      <c r="D99" s="96" t="s">
        <v>235</v>
      </c>
      <c r="E99" s="96"/>
      <c r="F99" s="97"/>
    </row>
    <row r="100" spans="1:6" ht="18" customHeight="1" x14ac:dyDescent="0.25">
      <c r="A100" s="139" t="s">
        <v>269</v>
      </c>
      <c r="B100" s="142" t="s">
        <v>7</v>
      </c>
      <c r="C100" s="145" t="s">
        <v>229</v>
      </c>
      <c r="D100" s="145"/>
      <c r="E100" s="93"/>
      <c r="F100" s="94"/>
    </row>
    <row r="101" spans="1:6" ht="18" customHeight="1" x14ac:dyDescent="0.25">
      <c r="A101" s="140"/>
      <c r="B101" s="143"/>
      <c r="C101" s="161" t="s">
        <v>235</v>
      </c>
      <c r="D101" s="161"/>
      <c r="E101" s="92"/>
      <c r="F101" s="95"/>
    </row>
    <row r="102" spans="1:6" ht="18" customHeight="1" x14ac:dyDescent="0.25">
      <c r="A102" s="140"/>
      <c r="B102" s="143"/>
      <c r="C102" s="161" t="s">
        <v>228</v>
      </c>
      <c r="D102" s="161"/>
      <c r="E102" s="92"/>
      <c r="F102" s="95"/>
    </row>
    <row r="103" spans="1:6" ht="18" customHeight="1" thickBot="1" x14ac:dyDescent="0.3">
      <c r="A103" s="141"/>
      <c r="B103" s="144"/>
      <c r="C103" s="183" t="s">
        <v>213</v>
      </c>
      <c r="D103" s="183"/>
      <c r="E103" s="96"/>
      <c r="F103" s="97"/>
    </row>
    <row r="104" spans="1:6" ht="18" customHeight="1" x14ac:dyDescent="0.25">
      <c r="A104" s="146" t="s">
        <v>270</v>
      </c>
      <c r="B104" s="148" t="s">
        <v>8</v>
      </c>
      <c r="C104" s="145" t="s">
        <v>229</v>
      </c>
      <c r="D104" s="145"/>
      <c r="E104" s="93"/>
      <c r="F104" s="94"/>
    </row>
    <row r="105" spans="1:6" ht="18" customHeight="1" thickBot="1" x14ac:dyDescent="0.3">
      <c r="A105" s="147"/>
      <c r="B105" s="149"/>
      <c r="C105" s="183" t="s">
        <v>235</v>
      </c>
      <c r="D105" s="183"/>
      <c r="E105" s="96"/>
      <c r="F105" s="97"/>
    </row>
    <row r="106" spans="1:6" ht="18" customHeight="1" x14ac:dyDescent="0.25">
      <c r="B106" s="115" t="s">
        <v>242</v>
      </c>
      <c r="C106" s="150" t="s">
        <v>230</v>
      </c>
      <c r="D106" s="150"/>
      <c r="E106" s="150"/>
      <c r="F106" s="150"/>
    </row>
    <row r="109" spans="1:6" ht="18" customHeight="1" thickBot="1" x14ac:dyDescent="0.3">
      <c r="C109" s="113" t="s">
        <v>1</v>
      </c>
      <c r="D109" s="113" t="s">
        <v>2</v>
      </c>
      <c r="E109" s="113" t="s">
        <v>239</v>
      </c>
      <c r="F109" s="113" t="s">
        <v>240</v>
      </c>
    </row>
    <row r="110" spans="1:6" ht="18" customHeight="1" x14ac:dyDescent="0.25">
      <c r="A110" s="151" t="s">
        <v>271</v>
      </c>
      <c r="B110" s="154" t="s">
        <v>243</v>
      </c>
      <c r="C110" s="145" t="s">
        <v>226</v>
      </c>
      <c r="D110" s="145"/>
      <c r="E110" s="93" t="s">
        <v>234</v>
      </c>
      <c r="F110" s="94" t="s">
        <v>213</v>
      </c>
    </row>
    <row r="111" spans="1:6" ht="18" customHeight="1" x14ac:dyDescent="0.25">
      <c r="A111" s="152"/>
      <c r="B111" s="155"/>
      <c r="C111" s="157" t="s">
        <v>230</v>
      </c>
      <c r="D111" s="157"/>
      <c r="E111" s="120"/>
      <c r="F111" s="121"/>
    </row>
    <row r="112" spans="1:6" ht="18" customHeight="1" x14ac:dyDescent="0.25">
      <c r="A112" s="152"/>
      <c r="B112" s="155"/>
      <c r="C112" s="120" t="s">
        <v>228</v>
      </c>
      <c r="D112" s="120" t="s">
        <v>231</v>
      </c>
      <c r="E112" s="120"/>
      <c r="F112" s="121"/>
    </row>
    <row r="113" spans="1:6" ht="18" customHeight="1" thickBot="1" x14ac:dyDescent="0.3">
      <c r="A113" s="153"/>
      <c r="B113" s="156"/>
      <c r="C113" s="122" t="s">
        <v>213</v>
      </c>
      <c r="D113" s="122" t="s">
        <v>233</v>
      </c>
      <c r="E113" s="122"/>
      <c r="F113" s="123"/>
    </row>
    <row r="114" spans="1:6" ht="18" customHeight="1" x14ac:dyDescent="0.25">
      <c r="A114" s="168" t="s">
        <v>272</v>
      </c>
      <c r="B114" s="158" t="s">
        <v>244</v>
      </c>
      <c r="C114" s="145" t="s">
        <v>226</v>
      </c>
      <c r="D114" s="145"/>
      <c r="E114" s="93" t="s">
        <v>228</v>
      </c>
      <c r="F114" s="94"/>
    </row>
    <row r="115" spans="1:6" ht="18" customHeight="1" x14ac:dyDescent="0.25">
      <c r="A115" s="169"/>
      <c r="B115" s="159"/>
      <c r="C115" s="161" t="s">
        <v>230</v>
      </c>
      <c r="D115" s="161"/>
      <c r="E115" s="92" t="s">
        <v>234</v>
      </c>
      <c r="F115" s="95"/>
    </row>
    <row r="116" spans="1:6" ht="18" customHeight="1" x14ac:dyDescent="0.25">
      <c r="A116" s="169"/>
      <c r="B116" s="159"/>
      <c r="C116" s="92" t="s">
        <v>228</v>
      </c>
      <c r="D116" s="92" t="s">
        <v>231</v>
      </c>
      <c r="E116" s="92"/>
      <c r="F116" s="95"/>
    </row>
    <row r="117" spans="1:6" ht="18" customHeight="1" thickBot="1" x14ac:dyDescent="0.3">
      <c r="A117" s="170"/>
      <c r="B117" s="160"/>
      <c r="C117" s="96" t="s">
        <v>213</v>
      </c>
      <c r="D117" s="96" t="s">
        <v>233</v>
      </c>
      <c r="E117" s="96"/>
      <c r="F117" s="97"/>
    </row>
    <row r="118" spans="1:6" ht="18" customHeight="1" x14ac:dyDescent="0.25">
      <c r="A118" s="162" t="s">
        <v>273</v>
      </c>
      <c r="B118" s="165" t="s">
        <v>245</v>
      </c>
      <c r="C118" s="145" t="s">
        <v>231</v>
      </c>
      <c r="D118" s="145"/>
      <c r="E118" s="93" t="s">
        <v>226</v>
      </c>
      <c r="F118" s="94"/>
    </row>
    <row r="119" spans="1:6" ht="18" customHeight="1" x14ac:dyDescent="0.25">
      <c r="A119" s="163"/>
      <c r="B119" s="166"/>
      <c r="C119" s="161" t="s">
        <v>233</v>
      </c>
      <c r="D119" s="161"/>
      <c r="E119" s="92" t="s">
        <v>230</v>
      </c>
      <c r="F119" s="95"/>
    </row>
    <row r="120" spans="1:6" ht="18" customHeight="1" x14ac:dyDescent="0.25">
      <c r="A120" s="163"/>
      <c r="B120" s="166"/>
      <c r="C120" s="92" t="s">
        <v>228</v>
      </c>
      <c r="D120" s="92" t="s">
        <v>226</v>
      </c>
      <c r="E120" s="92" t="s">
        <v>234</v>
      </c>
      <c r="F120" s="95"/>
    </row>
    <row r="121" spans="1:6" ht="18" customHeight="1" thickBot="1" x14ac:dyDescent="0.3">
      <c r="A121" s="164"/>
      <c r="B121" s="167"/>
      <c r="C121" s="96" t="s">
        <v>213</v>
      </c>
      <c r="D121" s="96" t="s">
        <v>230</v>
      </c>
      <c r="E121" s="96"/>
      <c r="F121" s="97"/>
    </row>
    <row r="122" spans="1:6" ht="18" customHeight="1" x14ac:dyDescent="0.25">
      <c r="A122" s="171" t="s">
        <v>274</v>
      </c>
      <c r="B122" s="174" t="s">
        <v>246</v>
      </c>
      <c r="C122" s="145" t="s">
        <v>231</v>
      </c>
      <c r="D122" s="145"/>
      <c r="E122" s="93" t="s">
        <v>235</v>
      </c>
      <c r="F122" s="94"/>
    </row>
    <row r="123" spans="1:6" ht="18" customHeight="1" x14ac:dyDescent="0.25">
      <c r="A123" s="172"/>
      <c r="B123" s="175"/>
      <c r="C123" s="161" t="s">
        <v>233</v>
      </c>
      <c r="D123" s="161"/>
      <c r="E123" s="92" t="s">
        <v>227</v>
      </c>
      <c r="F123" s="95"/>
    </row>
    <row r="124" spans="1:6" ht="18" customHeight="1" x14ac:dyDescent="0.25">
      <c r="A124" s="172"/>
      <c r="B124" s="175"/>
      <c r="C124" s="161" t="s">
        <v>213</v>
      </c>
      <c r="D124" s="161"/>
      <c r="E124" s="92" t="s">
        <v>234</v>
      </c>
      <c r="F124" s="95"/>
    </row>
    <row r="125" spans="1:6" ht="18" customHeight="1" thickBot="1" x14ac:dyDescent="0.3">
      <c r="A125" s="173"/>
      <c r="B125" s="176"/>
      <c r="C125" s="96" t="s">
        <v>228</v>
      </c>
      <c r="D125" s="96" t="s">
        <v>235</v>
      </c>
      <c r="E125" s="96"/>
      <c r="F125" s="97"/>
    </row>
    <row r="126" spans="1:6" ht="18" customHeight="1" x14ac:dyDescent="0.25">
      <c r="A126" s="177" t="s">
        <v>275</v>
      </c>
      <c r="B126" s="180" t="s">
        <v>241</v>
      </c>
      <c r="C126" s="145" t="s">
        <v>235</v>
      </c>
      <c r="D126" s="145"/>
      <c r="E126" s="93" t="s">
        <v>232</v>
      </c>
      <c r="F126" s="94"/>
    </row>
    <row r="127" spans="1:6" ht="18" customHeight="1" x14ac:dyDescent="0.25">
      <c r="A127" s="178"/>
      <c r="B127" s="181"/>
      <c r="C127" s="161" t="s">
        <v>227</v>
      </c>
      <c r="D127" s="161"/>
      <c r="E127" s="92" t="s">
        <v>229</v>
      </c>
      <c r="F127" s="95"/>
    </row>
    <row r="128" spans="1:6" ht="18" customHeight="1" x14ac:dyDescent="0.25">
      <c r="A128" s="178"/>
      <c r="B128" s="181"/>
      <c r="C128" s="92" t="s">
        <v>228</v>
      </c>
      <c r="D128" s="92" t="s">
        <v>232</v>
      </c>
      <c r="E128" s="92" t="s">
        <v>234</v>
      </c>
      <c r="F128" s="95"/>
    </row>
    <row r="129" spans="1:6" ht="18" customHeight="1" thickBot="1" x14ac:dyDescent="0.3">
      <c r="A129" s="179"/>
      <c r="B129" s="182"/>
      <c r="C129" s="96" t="s">
        <v>213</v>
      </c>
      <c r="D129" s="96" t="s">
        <v>229</v>
      </c>
      <c r="E129" s="96"/>
      <c r="F129" s="97"/>
    </row>
    <row r="130" spans="1:6" ht="18" customHeight="1" x14ac:dyDescent="0.25">
      <c r="A130" s="139" t="s">
        <v>276</v>
      </c>
      <c r="B130" s="142" t="s">
        <v>7</v>
      </c>
      <c r="C130" s="145" t="s">
        <v>232</v>
      </c>
      <c r="D130" s="145"/>
      <c r="E130" s="93"/>
      <c r="F130" s="94"/>
    </row>
    <row r="131" spans="1:6" ht="18" customHeight="1" x14ac:dyDescent="0.25">
      <c r="A131" s="140"/>
      <c r="B131" s="143"/>
      <c r="C131" s="161" t="s">
        <v>229</v>
      </c>
      <c r="D131" s="161"/>
      <c r="E131" s="92"/>
      <c r="F131" s="95"/>
    </row>
    <row r="132" spans="1:6" ht="18" customHeight="1" x14ac:dyDescent="0.25">
      <c r="A132" s="140"/>
      <c r="B132" s="143"/>
      <c r="C132" s="161" t="s">
        <v>235</v>
      </c>
      <c r="D132" s="161"/>
      <c r="E132" s="92"/>
      <c r="F132" s="95"/>
    </row>
    <row r="133" spans="1:6" ht="18" customHeight="1" thickBot="1" x14ac:dyDescent="0.3">
      <c r="A133" s="141"/>
      <c r="B133" s="144"/>
      <c r="C133" s="183" t="s">
        <v>227</v>
      </c>
      <c r="D133" s="183"/>
      <c r="E133" s="96"/>
      <c r="F133" s="97"/>
    </row>
    <row r="134" spans="1:6" ht="18" customHeight="1" x14ac:dyDescent="0.25">
      <c r="A134" s="146" t="s">
        <v>277</v>
      </c>
      <c r="B134" s="148" t="s">
        <v>8</v>
      </c>
      <c r="C134" s="145" t="s">
        <v>232</v>
      </c>
      <c r="D134" s="145"/>
      <c r="E134" s="93"/>
      <c r="F134" s="94"/>
    </row>
    <row r="135" spans="1:6" ht="18" customHeight="1" thickBot="1" x14ac:dyDescent="0.3">
      <c r="A135" s="147"/>
      <c r="B135" s="149"/>
      <c r="C135" s="183" t="s">
        <v>229</v>
      </c>
      <c r="D135" s="183"/>
      <c r="E135" s="96"/>
      <c r="F135" s="97"/>
    </row>
    <row r="136" spans="1:6" ht="18" customHeight="1" x14ac:dyDescent="0.25">
      <c r="B136" s="115" t="s">
        <v>242</v>
      </c>
      <c r="C136" s="150" t="s">
        <v>234</v>
      </c>
      <c r="D136" s="150"/>
      <c r="E136" s="150"/>
      <c r="F136" s="150"/>
    </row>
    <row r="139" spans="1:6" ht="18" customHeight="1" thickBot="1" x14ac:dyDescent="0.3">
      <c r="C139" s="113" t="s">
        <v>1</v>
      </c>
      <c r="D139" s="113" t="s">
        <v>2</v>
      </c>
      <c r="E139" s="113" t="s">
        <v>239</v>
      </c>
      <c r="F139" s="113" t="s">
        <v>240</v>
      </c>
    </row>
    <row r="140" spans="1:6" ht="18" customHeight="1" x14ac:dyDescent="0.25">
      <c r="A140" s="151" t="s">
        <v>278</v>
      </c>
      <c r="B140" s="154" t="s">
        <v>243</v>
      </c>
      <c r="C140" s="145" t="s">
        <v>233</v>
      </c>
      <c r="D140" s="145"/>
      <c r="E140" s="93" t="s">
        <v>228</v>
      </c>
      <c r="F140" s="94" t="s">
        <v>227</v>
      </c>
    </row>
    <row r="141" spans="1:6" ht="18" customHeight="1" x14ac:dyDescent="0.25">
      <c r="A141" s="152"/>
      <c r="B141" s="155"/>
      <c r="C141" s="157" t="s">
        <v>234</v>
      </c>
      <c r="D141" s="157"/>
      <c r="E141" s="120"/>
      <c r="F141" s="121"/>
    </row>
    <row r="142" spans="1:6" ht="18" customHeight="1" x14ac:dyDescent="0.25">
      <c r="A142" s="152"/>
      <c r="B142" s="155"/>
      <c r="C142" s="120" t="s">
        <v>235</v>
      </c>
      <c r="D142" s="120" t="s">
        <v>231</v>
      </c>
      <c r="E142" s="120"/>
      <c r="F142" s="121"/>
    </row>
    <row r="143" spans="1:6" ht="18" customHeight="1" thickBot="1" x14ac:dyDescent="0.3">
      <c r="A143" s="153"/>
      <c r="B143" s="156"/>
      <c r="C143" s="122" t="s">
        <v>227</v>
      </c>
      <c r="D143" s="122" t="s">
        <v>213</v>
      </c>
      <c r="E143" s="122"/>
      <c r="F143" s="123"/>
    </row>
    <row r="144" spans="1:6" ht="18" customHeight="1" x14ac:dyDescent="0.25">
      <c r="A144" s="168" t="s">
        <v>279</v>
      </c>
      <c r="B144" s="158" t="s">
        <v>244</v>
      </c>
      <c r="C144" s="145" t="s">
        <v>233</v>
      </c>
      <c r="D144" s="145"/>
      <c r="E144" s="93" t="s">
        <v>235</v>
      </c>
      <c r="F144" s="94"/>
    </row>
    <row r="145" spans="1:6" ht="18" customHeight="1" thickBot="1" x14ac:dyDescent="0.3">
      <c r="A145" s="170"/>
      <c r="B145" s="160"/>
      <c r="C145" s="183" t="s">
        <v>234</v>
      </c>
      <c r="D145" s="183"/>
      <c r="E145" s="96" t="s">
        <v>228</v>
      </c>
      <c r="F145" s="97"/>
    </row>
    <row r="146" spans="1:6" ht="18" customHeight="1" x14ac:dyDescent="0.25">
      <c r="A146" s="162" t="s">
        <v>280</v>
      </c>
      <c r="B146" s="165" t="s">
        <v>245</v>
      </c>
      <c r="C146" s="145" t="s">
        <v>231</v>
      </c>
      <c r="D146" s="145"/>
      <c r="E146" s="93" t="s">
        <v>233</v>
      </c>
      <c r="F146" s="94"/>
    </row>
    <row r="147" spans="1:6" ht="18" customHeight="1" x14ac:dyDescent="0.25">
      <c r="A147" s="163"/>
      <c r="B147" s="166"/>
      <c r="C147" s="161" t="s">
        <v>213</v>
      </c>
      <c r="D147" s="161"/>
      <c r="E147" s="92" t="s">
        <v>234</v>
      </c>
      <c r="F147" s="95"/>
    </row>
    <row r="148" spans="1:6" ht="18" customHeight="1" x14ac:dyDescent="0.25">
      <c r="A148" s="163"/>
      <c r="B148" s="166"/>
      <c r="C148" s="92" t="s">
        <v>235</v>
      </c>
      <c r="D148" s="92" t="s">
        <v>233</v>
      </c>
      <c r="E148" s="92" t="s">
        <v>228</v>
      </c>
      <c r="F148" s="95"/>
    </row>
    <row r="149" spans="1:6" ht="18" customHeight="1" thickBot="1" x14ac:dyDescent="0.3">
      <c r="A149" s="164"/>
      <c r="B149" s="167"/>
      <c r="C149" s="96" t="s">
        <v>227</v>
      </c>
      <c r="D149" s="96" t="s">
        <v>234</v>
      </c>
      <c r="E149" s="96"/>
      <c r="F149" s="97"/>
    </row>
    <row r="150" spans="1:6" ht="18" customHeight="1" x14ac:dyDescent="0.25">
      <c r="A150" s="171" t="s">
        <v>281</v>
      </c>
      <c r="B150" s="174" t="s">
        <v>246</v>
      </c>
      <c r="C150" s="145" t="s">
        <v>230</v>
      </c>
      <c r="D150" s="145"/>
      <c r="E150" s="93" t="s">
        <v>229</v>
      </c>
      <c r="F150" s="94"/>
    </row>
    <row r="151" spans="1:6" ht="18" customHeight="1" x14ac:dyDescent="0.25">
      <c r="A151" s="172"/>
      <c r="B151" s="175"/>
      <c r="C151" s="161" t="s">
        <v>227</v>
      </c>
      <c r="D151" s="161"/>
      <c r="E151" s="92" t="s">
        <v>230</v>
      </c>
      <c r="F151" s="95"/>
    </row>
    <row r="152" spans="1:6" ht="18" customHeight="1" x14ac:dyDescent="0.25">
      <c r="A152" s="172"/>
      <c r="B152" s="175"/>
      <c r="C152" s="161" t="s">
        <v>213</v>
      </c>
      <c r="D152" s="161"/>
      <c r="E152" s="92" t="s">
        <v>228</v>
      </c>
      <c r="F152" s="95"/>
    </row>
    <row r="153" spans="1:6" ht="18" customHeight="1" thickBot="1" x14ac:dyDescent="0.3">
      <c r="A153" s="173"/>
      <c r="B153" s="176"/>
      <c r="C153" s="96" t="s">
        <v>235</v>
      </c>
      <c r="D153" s="96" t="s">
        <v>229</v>
      </c>
      <c r="E153" s="96"/>
      <c r="F153" s="97"/>
    </row>
    <row r="154" spans="1:6" ht="18" customHeight="1" x14ac:dyDescent="0.25">
      <c r="A154" s="177" t="s">
        <v>282</v>
      </c>
      <c r="B154" s="180" t="s">
        <v>241</v>
      </c>
      <c r="C154" s="145" t="s">
        <v>229</v>
      </c>
      <c r="D154" s="145"/>
      <c r="E154" s="93" t="s">
        <v>226</v>
      </c>
      <c r="F154" s="94"/>
    </row>
    <row r="155" spans="1:6" ht="18" customHeight="1" x14ac:dyDescent="0.25">
      <c r="A155" s="178"/>
      <c r="B155" s="181"/>
      <c r="C155" s="161" t="s">
        <v>230</v>
      </c>
      <c r="D155" s="161"/>
      <c r="E155" s="92" t="s">
        <v>232</v>
      </c>
      <c r="F155" s="95"/>
    </row>
    <row r="156" spans="1:6" ht="18" customHeight="1" x14ac:dyDescent="0.25">
      <c r="A156" s="178"/>
      <c r="B156" s="181"/>
      <c r="C156" s="92" t="s">
        <v>235</v>
      </c>
      <c r="D156" s="92" t="s">
        <v>232</v>
      </c>
      <c r="E156" s="92" t="s">
        <v>228</v>
      </c>
      <c r="F156" s="95"/>
    </row>
    <row r="157" spans="1:6" ht="18" customHeight="1" thickBot="1" x14ac:dyDescent="0.3">
      <c r="A157" s="179"/>
      <c r="B157" s="182"/>
      <c r="C157" s="96" t="s">
        <v>227</v>
      </c>
      <c r="D157" s="96" t="s">
        <v>234</v>
      </c>
      <c r="E157" s="96"/>
      <c r="F157" s="97"/>
    </row>
    <row r="158" spans="1:6" ht="18" customHeight="1" x14ac:dyDescent="0.25">
      <c r="A158" s="139" t="s">
        <v>283</v>
      </c>
      <c r="B158" s="142" t="s">
        <v>7</v>
      </c>
      <c r="C158" s="145" t="s">
        <v>232</v>
      </c>
      <c r="D158" s="145"/>
      <c r="E158" s="93"/>
      <c r="F158" s="94"/>
    </row>
    <row r="159" spans="1:6" ht="18" customHeight="1" x14ac:dyDescent="0.25">
      <c r="A159" s="140"/>
      <c r="B159" s="143"/>
      <c r="C159" s="161" t="s">
        <v>229</v>
      </c>
      <c r="D159" s="161"/>
      <c r="E159" s="92"/>
      <c r="F159" s="95"/>
    </row>
    <row r="160" spans="1:6" ht="18" customHeight="1" x14ac:dyDescent="0.25">
      <c r="A160" s="140"/>
      <c r="B160" s="143"/>
      <c r="C160" s="161" t="s">
        <v>228</v>
      </c>
      <c r="D160" s="161"/>
      <c r="E160" s="92"/>
      <c r="F160" s="95"/>
    </row>
    <row r="161" spans="1:6" ht="18" customHeight="1" thickBot="1" x14ac:dyDescent="0.3">
      <c r="A161" s="141"/>
      <c r="B161" s="144"/>
      <c r="C161" s="183" t="s">
        <v>230</v>
      </c>
      <c r="D161" s="183"/>
      <c r="E161" s="96"/>
      <c r="F161" s="97"/>
    </row>
    <row r="162" spans="1:6" ht="18" customHeight="1" x14ac:dyDescent="0.25">
      <c r="A162" s="146" t="s">
        <v>284</v>
      </c>
      <c r="B162" s="148" t="s">
        <v>8</v>
      </c>
      <c r="C162" s="145" t="s">
        <v>232</v>
      </c>
      <c r="D162" s="145"/>
      <c r="E162" s="93"/>
      <c r="F162" s="94"/>
    </row>
    <row r="163" spans="1:6" ht="18" customHeight="1" thickBot="1" x14ac:dyDescent="0.3">
      <c r="A163" s="147"/>
      <c r="B163" s="149"/>
      <c r="C163" s="96" t="s">
        <v>235</v>
      </c>
      <c r="D163" s="96" t="s">
        <v>233</v>
      </c>
      <c r="E163" s="96"/>
      <c r="F163" s="97"/>
    </row>
    <row r="164" spans="1:6" ht="18" customHeight="1" x14ac:dyDescent="0.25">
      <c r="B164" s="115" t="s">
        <v>242</v>
      </c>
      <c r="C164" s="150" t="s">
        <v>228</v>
      </c>
      <c r="D164" s="150"/>
      <c r="E164" s="150"/>
      <c r="F164" s="150"/>
    </row>
    <row r="167" spans="1:6" ht="18" customHeight="1" thickBot="1" x14ac:dyDescent="0.3">
      <c r="C167" s="113" t="s">
        <v>1</v>
      </c>
      <c r="D167" s="113" t="s">
        <v>2</v>
      </c>
      <c r="E167" s="113" t="s">
        <v>239</v>
      </c>
      <c r="F167" s="113" t="s">
        <v>240</v>
      </c>
    </row>
    <row r="168" spans="1:6" ht="18" customHeight="1" x14ac:dyDescent="0.25">
      <c r="A168" s="151" t="s">
        <v>285</v>
      </c>
      <c r="B168" s="154" t="s">
        <v>243</v>
      </c>
      <c r="C168" s="145" t="s">
        <v>231</v>
      </c>
      <c r="D168" s="145"/>
      <c r="E168" s="93" t="s">
        <v>235</v>
      </c>
      <c r="F168" s="94" t="s">
        <v>230</v>
      </c>
    </row>
    <row r="169" spans="1:6" ht="18" customHeight="1" x14ac:dyDescent="0.25">
      <c r="A169" s="152"/>
      <c r="B169" s="155"/>
      <c r="C169" s="157" t="s">
        <v>228</v>
      </c>
      <c r="D169" s="157"/>
      <c r="E169" s="120"/>
      <c r="F169" s="121"/>
    </row>
    <row r="170" spans="1:6" ht="18" customHeight="1" x14ac:dyDescent="0.25">
      <c r="A170" s="152"/>
      <c r="B170" s="155"/>
      <c r="C170" s="120" t="s">
        <v>229</v>
      </c>
      <c r="D170" s="120" t="s">
        <v>227</v>
      </c>
      <c r="E170" s="120"/>
      <c r="F170" s="121"/>
    </row>
    <row r="171" spans="1:6" ht="18" customHeight="1" thickBot="1" x14ac:dyDescent="0.3">
      <c r="A171" s="153"/>
      <c r="B171" s="156"/>
      <c r="C171" s="122" t="s">
        <v>230</v>
      </c>
      <c r="D171" s="122" t="s">
        <v>213</v>
      </c>
      <c r="E171" s="122"/>
      <c r="F171" s="123"/>
    </row>
    <row r="172" spans="1:6" ht="18" customHeight="1" x14ac:dyDescent="0.25">
      <c r="A172" s="168" t="s">
        <v>286</v>
      </c>
      <c r="B172" s="158" t="s">
        <v>244</v>
      </c>
      <c r="C172" s="145" t="s">
        <v>231</v>
      </c>
      <c r="D172" s="145"/>
      <c r="E172" s="93" t="s">
        <v>229</v>
      </c>
      <c r="F172" s="94"/>
    </row>
    <row r="173" spans="1:6" ht="18" customHeight="1" x14ac:dyDescent="0.25">
      <c r="A173" s="169"/>
      <c r="B173" s="159"/>
      <c r="C173" s="161" t="s">
        <v>228</v>
      </c>
      <c r="D173" s="161"/>
      <c r="E173" s="92" t="s">
        <v>235</v>
      </c>
      <c r="F173" s="95"/>
    </row>
    <row r="174" spans="1:6" ht="18" customHeight="1" x14ac:dyDescent="0.25">
      <c r="A174" s="169"/>
      <c r="B174" s="159"/>
      <c r="C174" s="92" t="s">
        <v>229</v>
      </c>
      <c r="D174" s="92" t="s">
        <v>227</v>
      </c>
      <c r="E174" s="92"/>
      <c r="F174" s="95"/>
    </row>
    <row r="175" spans="1:6" ht="18" customHeight="1" thickBot="1" x14ac:dyDescent="0.3">
      <c r="A175" s="170"/>
      <c r="B175" s="160"/>
      <c r="C175" s="96" t="s">
        <v>230</v>
      </c>
      <c r="D175" s="96" t="s">
        <v>213</v>
      </c>
      <c r="E175" s="96"/>
      <c r="F175" s="97"/>
    </row>
    <row r="176" spans="1:6" ht="18" customHeight="1" x14ac:dyDescent="0.25">
      <c r="A176" s="162" t="s">
        <v>287</v>
      </c>
      <c r="B176" s="165" t="s">
        <v>245</v>
      </c>
      <c r="C176" s="145" t="s">
        <v>227</v>
      </c>
      <c r="D176" s="145"/>
      <c r="E176" s="93" t="s">
        <v>231</v>
      </c>
      <c r="F176" s="94"/>
    </row>
    <row r="177" spans="1:6" ht="18" customHeight="1" x14ac:dyDescent="0.25">
      <c r="A177" s="163"/>
      <c r="B177" s="166"/>
      <c r="C177" s="161" t="s">
        <v>213</v>
      </c>
      <c r="D177" s="161"/>
      <c r="E177" s="92" t="s">
        <v>228</v>
      </c>
      <c r="F177" s="95"/>
    </row>
    <row r="178" spans="1:6" ht="18" customHeight="1" x14ac:dyDescent="0.25">
      <c r="A178" s="163"/>
      <c r="B178" s="166"/>
      <c r="C178" s="92" t="s">
        <v>229</v>
      </c>
      <c r="D178" s="92" t="s">
        <v>231</v>
      </c>
      <c r="E178" s="92" t="s">
        <v>235</v>
      </c>
      <c r="F178" s="95"/>
    </row>
    <row r="179" spans="1:6" ht="18" customHeight="1" thickBot="1" x14ac:dyDescent="0.3">
      <c r="A179" s="164"/>
      <c r="B179" s="167"/>
      <c r="C179" s="96" t="s">
        <v>230</v>
      </c>
      <c r="D179" s="96" t="s">
        <v>228</v>
      </c>
      <c r="E179" s="96"/>
      <c r="F179" s="97"/>
    </row>
    <row r="180" spans="1:6" ht="18" customHeight="1" x14ac:dyDescent="0.25">
      <c r="A180" s="171" t="s">
        <v>288</v>
      </c>
      <c r="B180" s="174" t="s">
        <v>246</v>
      </c>
      <c r="C180" s="145" t="s">
        <v>227</v>
      </c>
      <c r="D180" s="145"/>
      <c r="E180" s="93" t="s">
        <v>232</v>
      </c>
      <c r="F180" s="94"/>
    </row>
    <row r="181" spans="1:6" ht="18" customHeight="1" x14ac:dyDescent="0.25">
      <c r="A181" s="172"/>
      <c r="B181" s="175"/>
      <c r="C181" s="161" t="s">
        <v>213</v>
      </c>
      <c r="D181" s="161"/>
      <c r="E181" s="92" t="s">
        <v>234</v>
      </c>
      <c r="F181" s="95"/>
    </row>
    <row r="182" spans="1:6" ht="18" customHeight="1" x14ac:dyDescent="0.25">
      <c r="A182" s="172"/>
      <c r="B182" s="175"/>
      <c r="C182" s="92" t="s">
        <v>229</v>
      </c>
      <c r="D182" s="92" t="s">
        <v>232</v>
      </c>
      <c r="E182" s="92" t="s">
        <v>235</v>
      </c>
      <c r="F182" s="95"/>
    </row>
    <row r="183" spans="1:6" ht="18" customHeight="1" thickBot="1" x14ac:dyDescent="0.3">
      <c r="A183" s="173"/>
      <c r="B183" s="176"/>
      <c r="C183" s="96" t="s">
        <v>230</v>
      </c>
      <c r="D183" s="96" t="s">
        <v>234</v>
      </c>
      <c r="E183" s="96"/>
      <c r="F183" s="97"/>
    </row>
    <row r="184" spans="1:6" ht="18" customHeight="1" x14ac:dyDescent="0.25">
      <c r="A184" s="177" t="s">
        <v>289</v>
      </c>
      <c r="B184" s="180" t="s">
        <v>241</v>
      </c>
      <c r="C184" s="145" t="s">
        <v>232</v>
      </c>
      <c r="D184" s="145"/>
      <c r="E184" s="93" t="s">
        <v>233</v>
      </c>
      <c r="F184" s="94"/>
    </row>
    <row r="185" spans="1:6" ht="18" customHeight="1" x14ac:dyDescent="0.25">
      <c r="A185" s="178"/>
      <c r="B185" s="181"/>
      <c r="C185" s="161" t="s">
        <v>234</v>
      </c>
      <c r="D185" s="161"/>
      <c r="E185" s="92" t="s">
        <v>226</v>
      </c>
      <c r="F185" s="95"/>
    </row>
    <row r="186" spans="1:6" ht="18" customHeight="1" x14ac:dyDescent="0.25">
      <c r="A186" s="178"/>
      <c r="B186" s="181"/>
      <c r="C186" s="92" t="s">
        <v>229</v>
      </c>
      <c r="D186" s="92" t="s">
        <v>233</v>
      </c>
      <c r="E186" s="92" t="s">
        <v>235</v>
      </c>
      <c r="F186" s="95"/>
    </row>
    <row r="187" spans="1:6" ht="18" customHeight="1" thickBot="1" x14ac:dyDescent="0.3">
      <c r="A187" s="179"/>
      <c r="B187" s="182"/>
      <c r="C187" s="96" t="s">
        <v>230</v>
      </c>
      <c r="D187" s="96" t="s">
        <v>226</v>
      </c>
      <c r="E187" s="96"/>
      <c r="F187" s="97"/>
    </row>
    <row r="188" spans="1:6" ht="18" customHeight="1" x14ac:dyDescent="0.25">
      <c r="A188" s="139" t="s">
        <v>290</v>
      </c>
      <c r="B188" s="142" t="s">
        <v>7</v>
      </c>
      <c r="C188" s="145" t="s">
        <v>233</v>
      </c>
      <c r="D188" s="145"/>
      <c r="E188" s="93"/>
      <c r="F188" s="94"/>
    </row>
    <row r="189" spans="1:6" ht="18" customHeight="1" x14ac:dyDescent="0.25">
      <c r="A189" s="140"/>
      <c r="B189" s="143"/>
      <c r="C189" s="161" t="s">
        <v>226</v>
      </c>
      <c r="D189" s="161"/>
      <c r="E189" s="92"/>
      <c r="F189" s="95"/>
    </row>
    <row r="190" spans="1:6" ht="18" customHeight="1" x14ac:dyDescent="0.25">
      <c r="A190" s="140"/>
      <c r="B190" s="143"/>
      <c r="C190" s="161" t="s">
        <v>232</v>
      </c>
      <c r="D190" s="161"/>
      <c r="E190" s="92"/>
      <c r="F190" s="95"/>
    </row>
    <row r="191" spans="1:6" ht="18" customHeight="1" thickBot="1" x14ac:dyDescent="0.3">
      <c r="A191" s="141"/>
      <c r="B191" s="144"/>
      <c r="C191" s="183" t="s">
        <v>234</v>
      </c>
      <c r="D191" s="183"/>
      <c r="E191" s="96"/>
      <c r="F191" s="97"/>
    </row>
    <row r="192" spans="1:6" ht="18" customHeight="1" x14ac:dyDescent="0.25">
      <c r="A192" s="146" t="s">
        <v>291</v>
      </c>
      <c r="B192" s="148" t="s">
        <v>8</v>
      </c>
      <c r="C192" s="145" t="s">
        <v>233</v>
      </c>
      <c r="D192" s="145"/>
      <c r="E192" s="93"/>
      <c r="F192" s="94"/>
    </row>
    <row r="193" spans="1:6" ht="18" customHeight="1" thickBot="1" x14ac:dyDescent="0.3">
      <c r="A193" s="147"/>
      <c r="B193" s="149"/>
      <c r="C193" s="183" t="s">
        <v>226</v>
      </c>
      <c r="D193" s="183"/>
      <c r="E193" s="96"/>
      <c r="F193" s="97"/>
    </row>
    <row r="194" spans="1:6" ht="18" customHeight="1" x14ac:dyDescent="0.25">
      <c r="B194" s="115" t="s">
        <v>242</v>
      </c>
      <c r="C194" s="150" t="s">
        <v>235</v>
      </c>
      <c r="D194" s="150"/>
      <c r="E194" s="150"/>
      <c r="F194" s="150"/>
    </row>
    <row r="197" spans="1:6" ht="18" customHeight="1" thickBot="1" x14ac:dyDescent="0.3">
      <c r="C197" s="113" t="s">
        <v>1</v>
      </c>
      <c r="D197" s="113" t="s">
        <v>2</v>
      </c>
      <c r="E197" s="113" t="s">
        <v>239</v>
      </c>
      <c r="F197" s="113" t="s">
        <v>240</v>
      </c>
    </row>
    <row r="198" spans="1:6" ht="18" customHeight="1" x14ac:dyDescent="0.25">
      <c r="A198" s="151" t="s">
        <v>292</v>
      </c>
      <c r="B198" s="154" t="s">
        <v>243</v>
      </c>
      <c r="C198" s="145" t="s">
        <v>235</v>
      </c>
      <c r="D198" s="145"/>
      <c r="E198" s="93" t="s">
        <v>229</v>
      </c>
      <c r="F198" s="94" t="s">
        <v>234</v>
      </c>
    </row>
    <row r="199" spans="1:6" ht="18" customHeight="1" x14ac:dyDescent="0.25">
      <c r="A199" s="152"/>
      <c r="B199" s="155"/>
      <c r="C199" s="157" t="s">
        <v>213</v>
      </c>
      <c r="D199" s="157"/>
      <c r="E199" s="120"/>
      <c r="F199" s="121"/>
    </row>
    <row r="200" spans="1:6" ht="18" customHeight="1" x14ac:dyDescent="0.25">
      <c r="A200" s="152"/>
      <c r="B200" s="155"/>
      <c r="C200" s="120" t="s">
        <v>232</v>
      </c>
      <c r="D200" s="120" t="s">
        <v>230</v>
      </c>
      <c r="E200" s="120"/>
      <c r="F200" s="121"/>
    </row>
    <row r="201" spans="1:6" ht="18" customHeight="1" thickBot="1" x14ac:dyDescent="0.3">
      <c r="A201" s="153"/>
      <c r="B201" s="156"/>
      <c r="C201" s="122" t="s">
        <v>234</v>
      </c>
      <c r="D201" s="122" t="s">
        <v>227</v>
      </c>
      <c r="E201" s="122"/>
      <c r="F201" s="123"/>
    </row>
    <row r="202" spans="1:6" ht="18" customHeight="1" x14ac:dyDescent="0.25">
      <c r="A202" s="168" t="s">
        <v>293</v>
      </c>
      <c r="B202" s="158" t="s">
        <v>244</v>
      </c>
      <c r="C202" s="145" t="s">
        <v>235</v>
      </c>
      <c r="D202" s="145"/>
      <c r="E202" s="93" t="s">
        <v>232</v>
      </c>
      <c r="F202" s="94"/>
    </row>
    <row r="203" spans="1:6" ht="18" customHeight="1" x14ac:dyDescent="0.25">
      <c r="A203" s="169"/>
      <c r="B203" s="159"/>
      <c r="C203" s="161" t="s">
        <v>213</v>
      </c>
      <c r="D203" s="161"/>
      <c r="E203" s="92" t="s">
        <v>229</v>
      </c>
      <c r="F203" s="95"/>
    </row>
    <row r="204" spans="1:6" ht="18" customHeight="1" x14ac:dyDescent="0.25">
      <c r="A204" s="169"/>
      <c r="B204" s="159"/>
      <c r="C204" s="92" t="s">
        <v>232</v>
      </c>
      <c r="D204" s="92" t="s">
        <v>230</v>
      </c>
      <c r="E204" s="92"/>
      <c r="F204" s="95"/>
    </row>
    <row r="205" spans="1:6" ht="18" customHeight="1" thickBot="1" x14ac:dyDescent="0.3">
      <c r="A205" s="170"/>
      <c r="B205" s="160"/>
      <c r="C205" s="96" t="s">
        <v>234</v>
      </c>
      <c r="D205" s="96" t="s">
        <v>227</v>
      </c>
      <c r="E205" s="96"/>
      <c r="F205" s="97"/>
    </row>
    <row r="206" spans="1:6" ht="18" customHeight="1" x14ac:dyDescent="0.25">
      <c r="A206" s="162" t="s">
        <v>294</v>
      </c>
      <c r="B206" s="165" t="s">
        <v>245</v>
      </c>
      <c r="C206" s="145" t="s">
        <v>230</v>
      </c>
      <c r="D206" s="145"/>
      <c r="E206" s="93" t="s">
        <v>235</v>
      </c>
      <c r="F206" s="94"/>
    </row>
    <row r="207" spans="1:6" ht="18" customHeight="1" x14ac:dyDescent="0.25">
      <c r="A207" s="163"/>
      <c r="B207" s="166"/>
      <c r="C207" s="161" t="s">
        <v>227</v>
      </c>
      <c r="D207" s="161"/>
      <c r="E207" s="92" t="s">
        <v>213</v>
      </c>
      <c r="F207" s="95"/>
    </row>
    <row r="208" spans="1:6" ht="18" customHeight="1" x14ac:dyDescent="0.25">
      <c r="A208" s="163"/>
      <c r="B208" s="166"/>
      <c r="C208" s="92" t="s">
        <v>232</v>
      </c>
      <c r="D208" s="92" t="s">
        <v>235</v>
      </c>
      <c r="E208" s="92" t="s">
        <v>229</v>
      </c>
      <c r="F208" s="95"/>
    </row>
    <row r="209" spans="1:6" ht="18" customHeight="1" thickBot="1" x14ac:dyDescent="0.3">
      <c r="A209" s="164"/>
      <c r="B209" s="167"/>
      <c r="C209" s="96" t="s">
        <v>234</v>
      </c>
      <c r="D209" s="96" t="s">
        <v>213</v>
      </c>
      <c r="E209" s="96"/>
      <c r="F209" s="97"/>
    </row>
    <row r="210" spans="1:6" ht="18" customHeight="1" x14ac:dyDescent="0.25">
      <c r="A210" s="171" t="s">
        <v>295</v>
      </c>
      <c r="B210" s="174" t="s">
        <v>246</v>
      </c>
      <c r="C210" s="145" t="s">
        <v>230</v>
      </c>
      <c r="D210" s="145"/>
      <c r="E210" s="93" t="s">
        <v>226</v>
      </c>
      <c r="F210" s="94"/>
    </row>
    <row r="211" spans="1:6" ht="18" customHeight="1" x14ac:dyDescent="0.25">
      <c r="A211" s="172"/>
      <c r="B211" s="175"/>
      <c r="C211" s="161" t="s">
        <v>227</v>
      </c>
      <c r="D211" s="161"/>
      <c r="E211" s="92" t="s">
        <v>228</v>
      </c>
      <c r="F211" s="95"/>
    </row>
    <row r="212" spans="1:6" ht="18" customHeight="1" x14ac:dyDescent="0.25">
      <c r="A212" s="172"/>
      <c r="B212" s="175"/>
      <c r="C212" s="92" t="s">
        <v>232</v>
      </c>
      <c r="D212" s="92" t="s">
        <v>226</v>
      </c>
      <c r="E212" s="92" t="s">
        <v>229</v>
      </c>
      <c r="F212" s="95"/>
    </row>
    <row r="213" spans="1:6" ht="18" customHeight="1" thickBot="1" x14ac:dyDescent="0.3">
      <c r="A213" s="173"/>
      <c r="B213" s="176"/>
      <c r="C213" s="96" t="s">
        <v>234</v>
      </c>
      <c r="D213" s="96" t="s">
        <v>228</v>
      </c>
      <c r="E213" s="96"/>
      <c r="F213" s="97"/>
    </row>
    <row r="214" spans="1:6" ht="18" customHeight="1" x14ac:dyDescent="0.25">
      <c r="A214" s="177" t="s">
        <v>296</v>
      </c>
      <c r="B214" s="180" t="s">
        <v>241</v>
      </c>
      <c r="C214" s="145" t="s">
        <v>226</v>
      </c>
      <c r="D214" s="145"/>
      <c r="E214" s="93" t="s">
        <v>231</v>
      </c>
      <c r="F214" s="94"/>
    </row>
    <row r="215" spans="1:6" ht="18" customHeight="1" x14ac:dyDescent="0.25">
      <c r="A215" s="178"/>
      <c r="B215" s="181"/>
      <c r="C215" s="161" t="s">
        <v>228</v>
      </c>
      <c r="D215" s="161"/>
      <c r="E215" s="92" t="s">
        <v>233</v>
      </c>
      <c r="F215" s="95"/>
    </row>
    <row r="216" spans="1:6" ht="18" customHeight="1" x14ac:dyDescent="0.25">
      <c r="A216" s="178"/>
      <c r="B216" s="181"/>
      <c r="C216" s="92" t="s">
        <v>232</v>
      </c>
      <c r="D216" s="92" t="s">
        <v>231</v>
      </c>
      <c r="E216" s="92" t="s">
        <v>229</v>
      </c>
      <c r="F216" s="95"/>
    </row>
    <row r="217" spans="1:6" ht="18" customHeight="1" thickBot="1" x14ac:dyDescent="0.3">
      <c r="A217" s="179"/>
      <c r="B217" s="182"/>
      <c r="C217" s="96" t="s">
        <v>234</v>
      </c>
      <c r="D217" s="96" t="s">
        <v>233</v>
      </c>
      <c r="E217" s="96"/>
      <c r="F217" s="97"/>
    </row>
    <row r="218" spans="1:6" ht="18" customHeight="1" x14ac:dyDescent="0.25">
      <c r="A218" s="139" t="s">
        <v>297</v>
      </c>
      <c r="B218" s="142" t="s">
        <v>7</v>
      </c>
      <c r="C218" s="145" t="s">
        <v>231</v>
      </c>
      <c r="D218" s="145"/>
      <c r="E218" s="93"/>
      <c r="F218" s="94"/>
    </row>
    <row r="219" spans="1:6" ht="18" customHeight="1" x14ac:dyDescent="0.25">
      <c r="A219" s="140"/>
      <c r="B219" s="143"/>
      <c r="C219" s="161" t="s">
        <v>233</v>
      </c>
      <c r="D219" s="161"/>
      <c r="E219" s="92"/>
      <c r="F219" s="95"/>
    </row>
    <row r="220" spans="1:6" ht="18" customHeight="1" x14ac:dyDescent="0.25">
      <c r="A220" s="140"/>
      <c r="B220" s="143"/>
      <c r="C220" s="161" t="s">
        <v>229</v>
      </c>
      <c r="D220" s="161"/>
      <c r="E220" s="92"/>
      <c r="F220" s="95"/>
    </row>
    <row r="221" spans="1:6" ht="18" customHeight="1" thickBot="1" x14ac:dyDescent="0.3">
      <c r="A221" s="141"/>
      <c r="B221" s="144"/>
      <c r="C221" s="183" t="s">
        <v>228</v>
      </c>
      <c r="D221" s="183"/>
      <c r="E221" s="96"/>
      <c r="F221" s="97"/>
    </row>
    <row r="222" spans="1:6" ht="18" customHeight="1" x14ac:dyDescent="0.25">
      <c r="A222" s="146" t="s">
        <v>298</v>
      </c>
      <c r="B222" s="148" t="s">
        <v>8</v>
      </c>
      <c r="C222" s="145" t="s">
        <v>231</v>
      </c>
      <c r="D222" s="145"/>
      <c r="E222" s="93"/>
      <c r="F222" s="94"/>
    </row>
    <row r="223" spans="1:6" ht="18" customHeight="1" thickBot="1" x14ac:dyDescent="0.3">
      <c r="A223" s="147"/>
      <c r="B223" s="149"/>
      <c r="C223" s="183" t="s">
        <v>233</v>
      </c>
      <c r="D223" s="183"/>
      <c r="E223" s="96"/>
      <c r="F223" s="97"/>
    </row>
    <row r="224" spans="1:6" ht="18" customHeight="1" x14ac:dyDescent="0.25">
      <c r="B224" s="115" t="s">
        <v>242</v>
      </c>
      <c r="C224" s="150" t="s">
        <v>229</v>
      </c>
      <c r="D224" s="150"/>
      <c r="E224" s="150"/>
      <c r="F224" s="150"/>
    </row>
    <row r="227" spans="1:6" ht="18" customHeight="1" thickBot="1" x14ac:dyDescent="0.3">
      <c r="C227" s="113" t="s">
        <v>1</v>
      </c>
      <c r="D227" s="113" t="s">
        <v>2</v>
      </c>
      <c r="E227" s="113" t="s">
        <v>239</v>
      </c>
      <c r="F227" s="113" t="s">
        <v>240</v>
      </c>
    </row>
    <row r="228" spans="1:6" ht="18" customHeight="1" x14ac:dyDescent="0.25">
      <c r="A228" s="151" t="s">
        <v>299</v>
      </c>
      <c r="B228" s="154" t="s">
        <v>243</v>
      </c>
      <c r="C228" s="145" t="s">
        <v>229</v>
      </c>
      <c r="D228" s="145"/>
      <c r="E228" s="93" t="s">
        <v>232</v>
      </c>
      <c r="F228" s="94" t="s">
        <v>228</v>
      </c>
    </row>
    <row r="229" spans="1:6" ht="18" customHeight="1" x14ac:dyDescent="0.25">
      <c r="A229" s="152"/>
      <c r="B229" s="155"/>
      <c r="C229" s="157" t="s">
        <v>227</v>
      </c>
      <c r="D229" s="157"/>
      <c r="E229" s="120"/>
      <c r="F229" s="121"/>
    </row>
    <row r="230" spans="1:6" ht="18" customHeight="1" x14ac:dyDescent="0.25">
      <c r="A230" s="152"/>
      <c r="B230" s="155"/>
      <c r="C230" s="120" t="s">
        <v>226</v>
      </c>
      <c r="D230" s="120" t="s">
        <v>234</v>
      </c>
      <c r="E230" s="120"/>
      <c r="F230" s="121"/>
    </row>
    <row r="231" spans="1:6" ht="18" customHeight="1" thickBot="1" x14ac:dyDescent="0.3">
      <c r="A231" s="153"/>
      <c r="B231" s="156"/>
      <c r="C231" s="122" t="s">
        <v>228</v>
      </c>
      <c r="D231" s="122" t="s">
        <v>230</v>
      </c>
      <c r="E231" s="122"/>
      <c r="F231" s="123"/>
    </row>
    <row r="232" spans="1:6" ht="18" customHeight="1" x14ac:dyDescent="0.25">
      <c r="A232" s="168" t="s">
        <v>300</v>
      </c>
      <c r="B232" s="158" t="s">
        <v>244</v>
      </c>
      <c r="C232" s="145" t="s">
        <v>229</v>
      </c>
      <c r="D232" s="145"/>
      <c r="E232" s="93" t="s">
        <v>226</v>
      </c>
      <c r="F232" s="94"/>
    </row>
    <row r="233" spans="1:6" ht="18" customHeight="1" x14ac:dyDescent="0.25">
      <c r="A233" s="169"/>
      <c r="B233" s="159"/>
      <c r="C233" s="161" t="s">
        <v>227</v>
      </c>
      <c r="D233" s="161"/>
      <c r="E233" s="92" t="s">
        <v>232</v>
      </c>
      <c r="F233" s="95"/>
    </row>
    <row r="234" spans="1:6" ht="18" customHeight="1" x14ac:dyDescent="0.25">
      <c r="A234" s="169"/>
      <c r="B234" s="159"/>
      <c r="C234" s="92" t="s">
        <v>226</v>
      </c>
      <c r="D234" s="92" t="s">
        <v>234</v>
      </c>
      <c r="E234" s="92"/>
      <c r="F234" s="95"/>
    </row>
    <row r="235" spans="1:6" ht="18" customHeight="1" thickBot="1" x14ac:dyDescent="0.3">
      <c r="A235" s="170"/>
      <c r="B235" s="160"/>
      <c r="C235" s="96" t="s">
        <v>228</v>
      </c>
      <c r="D235" s="96" t="s">
        <v>230</v>
      </c>
      <c r="E235" s="96"/>
      <c r="F235" s="97"/>
    </row>
    <row r="236" spans="1:6" ht="18" customHeight="1" x14ac:dyDescent="0.25">
      <c r="A236" s="162" t="s">
        <v>301</v>
      </c>
      <c r="B236" s="165" t="s">
        <v>245</v>
      </c>
      <c r="C236" s="145" t="s">
        <v>234</v>
      </c>
      <c r="D236" s="145"/>
      <c r="E236" s="93" t="s">
        <v>229</v>
      </c>
      <c r="F236" s="94"/>
    </row>
    <row r="237" spans="1:6" ht="18" customHeight="1" x14ac:dyDescent="0.25">
      <c r="A237" s="163"/>
      <c r="B237" s="166"/>
      <c r="C237" s="161" t="s">
        <v>230</v>
      </c>
      <c r="D237" s="161"/>
      <c r="E237" s="92" t="s">
        <v>227</v>
      </c>
      <c r="F237" s="95"/>
    </row>
    <row r="238" spans="1:6" ht="18" customHeight="1" x14ac:dyDescent="0.25">
      <c r="A238" s="163"/>
      <c r="B238" s="166"/>
      <c r="C238" s="92" t="s">
        <v>226</v>
      </c>
      <c r="D238" s="92" t="s">
        <v>229</v>
      </c>
      <c r="E238" s="92" t="s">
        <v>232</v>
      </c>
      <c r="F238" s="95"/>
    </row>
    <row r="239" spans="1:6" ht="18" customHeight="1" thickBot="1" x14ac:dyDescent="0.3">
      <c r="A239" s="164"/>
      <c r="B239" s="167"/>
      <c r="C239" s="96" t="s">
        <v>228</v>
      </c>
      <c r="D239" s="96" t="s">
        <v>227</v>
      </c>
      <c r="E239" s="96"/>
      <c r="F239" s="97"/>
    </row>
    <row r="240" spans="1:6" ht="18" customHeight="1" x14ac:dyDescent="0.25">
      <c r="A240" s="171" t="s">
        <v>302</v>
      </c>
      <c r="B240" s="174" t="s">
        <v>246</v>
      </c>
      <c r="C240" s="145" t="s">
        <v>234</v>
      </c>
      <c r="D240" s="145"/>
      <c r="E240" s="93" t="s">
        <v>233</v>
      </c>
      <c r="F240" s="94"/>
    </row>
    <row r="241" spans="1:6" ht="18" customHeight="1" x14ac:dyDescent="0.25">
      <c r="A241" s="172"/>
      <c r="B241" s="175"/>
      <c r="C241" s="161" t="s">
        <v>230</v>
      </c>
      <c r="D241" s="161"/>
      <c r="E241" s="92" t="s">
        <v>235</v>
      </c>
      <c r="F241" s="95"/>
    </row>
    <row r="242" spans="1:6" ht="18" customHeight="1" x14ac:dyDescent="0.25">
      <c r="A242" s="172"/>
      <c r="B242" s="175"/>
      <c r="C242" s="92" t="s">
        <v>226</v>
      </c>
      <c r="D242" s="92" t="s">
        <v>233</v>
      </c>
      <c r="E242" s="92" t="s">
        <v>232</v>
      </c>
      <c r="F242" s="95"/>
    </row>
    <row r="243" spans="1:6" ht="18" customHeight="1" thickBot="1" x14ac:dyDescent="0.3">
      <c r="A243" s="173"/>
      <c r="B243" s="176"/>
      <c r="C243" s="96" t="s">
        <v>228</v>
      </c>
      <c r="D243" s="96" t="s">
        <v>235</v>
      </c>
      <c r="E243" s="96"/>
      <c r="F243" s="97"/>
    </row>
    <row r="244" spans="1:6" ht="18" customHeight="1" x14ac:dyDescent="0.25">
      <c r="A244" s="177" t="s">
        <v>303</v>
      </c>
      <c r="B244" s="180" t="s">
        <v>241</v>
      </c>
      <c r="C244" s="145" t="s">
        <v>233</v>
      </c>
      <c r="D244" s="145"/>
      <c r="E244" s="93" t="s">
        <v>231</v>
      </c>
      <c r="F244" s="94"/>
    </row>
    <row r="245" spans="1:6" ht="18" customHeight="1" x14ac:dyDescent="0.25">
      <c r="A245" s="178"/>
      <c r="B245" s="181"/>
      <c r="C245" s="161" t="s">
        <v>235</v>
      </c>
      <c r="D245" s="161"/>
      <c r="E245" s="92" t="s">
        <v>213</v>
      </c>
      <c r="F245" s="95"/>
    </row>
    <row r="246" spans="1:6" ht="18" customHeight="1" x14ac:dyDescent="0.25">
      <c r="A246" s="178"/>
      <c r="B246" s="181"/>
      <c r="C246" s="92" t="s">
        <v>226</v>
      </c>
      <c r="D246" s="92" t="s">
        <v>231</v>
      </c>
      <c r="E246" s="92" t="s">
        <v>232</v>
      </c>
      <c r="F246" s="95"/>
    </row>
    <row r="247" spans="1:6" ht="18" customHeight="1" thickBot="1" x14ac:dyDescent="0.3">
      <c r="A247" s="179"/>
      <c r="B247" s="182"/>
      <c r="C247" s="96" t="s">
        <v>228</v>
      </c>
      <c r="D247" s="96" t="s">
        <v>213</v>
      </c>
      <c r="E247" s="96"/>
      <c r="F247" s="97"/>
    </row>
    <row r="248" spans="1:6" ht="18" customHeight="1" x14ac:dyDescent="0.25">
      <c r="A248" s="139" t="s">
        <v>304</v>
      </c>
      <c r="B248" s="142" t="s">
        <v>7</v>
      </c>
      <c r="C248" s="145" t="s">
        <v>231</v>
      </c>
      <c r="D248" s="145"/>
      <c r="E248" s="93"/>
      <c r="F248" s="94"/>
    </row>
    <row r="249" spans="1:6" ht="18" customHeight="1" x14ac:dyDescent="0.25">
      <c r="A249" s="140"/>
      <c r="B249" s="143"/>
      <c r="C249" s="161" t="s">
        <v>233</v>
      </c>
      <c r="D249" s="161"/>
      <c r="E249" s="92"/>
      <c r="F249" s="95"/>
    </row>
    <row r="250" spans="1:6" ht="18" customHeight="1" x14ac:dyDescent="0.25">
      <c r="A250" s="140"/>
      <c r="B250" s="143"/>
      <c r="C250" s="161" t="s">
        <v>235</v>
      </c>
      <c r="D250" s="161"/>
      <c r="E250" s="92"/>
      <c r="F250" s="95"/>
    </row>
    <row r="251" spans="1:6" ht="18" customHeight="1" thickBot="1" x14ac:dyDescent="0.3">
      <c r="A251" s="141"/>
      <c r="B251" s="144"/>
      <c r="C251" s="183" t="s">
        <v>213</v>
      </c>
      <c r="D251" s="183"/>
      <c r="E251" s="96"/>
      <c r="F251" s="97"/>
    </row>
    <row r="252" spans="1:6" ht="18" customHeight="1" x14ac:dyDescent="0.25">
      <c r="A252" s="146" t="s">
        <v>305</v>
      </c>
      <c r="B252" s="148" t="s">
        <v>8</v>
      </c>
      <c r="C252" s="145" t="s">
        <v>231</v>
      </c>
      <c r="D252" s="145"/>
      <c r="E252" s="93"/>
      <c r="F252" s="94"/>
    </row>
    <row r="253" spans="1:6" ht="18" customHeight="1" thickBot="1" x14ac:dyDescent="0.3">
      <c r="A253" s="147"/>
      <c r="B253" s="149"/>
      <c r="C253" s="183" t="s">
        <v>213</v>
      </c>
      <c r="D253" s="183"/>
      <c r="E253" s="96"/>
      <c r="F253" s="97"/>
    </row>
    <row r="254" spans="1:6" ht="18" customHeight="1" x14ac:dyDescent="0.25">
      <c r="B254" s="115" t="s">
        <v>242</v>
      </c>
      <c r="C254" s="150" t="s">
        <v>232</v>
      </c>
      <c r="D254" s="150"/>
      <c r="E254" s="150"/>
      <c r="F254" s="150"/>
    </row>
    <row r="257" spans="1:6" ht="18" customHeight="1" thickBot="1" x14ac:dyDescent="0.3">
      <c r="C257" s="113" t="s">
        <v>1</v>
      </c>
      <c r="D257" s="113" t="s">
        <v>2</v>
      </c>
      <c r="E257" s="113" t="s">
        <v>239</v>
      </c>
      <c r="F257" s="113" t="s">
        <v>240</v>
      </c>
    </row>
    <row r="258" spans="1:6" ht="18" customHeight="1" x14ac:dyDescent="0.25">
      <c r="A258" s="151" t="s">
        <v>306</v>
      </c>
      <c r="B258" s="154" t="s">
        <v>243</v>
      </c>
      <c r="C258" s="145" t="s">
        <v>232</v>
      </c>
      <c r="D258" s="145"/>
      <c r="E258" s="93" t="s">
        <v>234</v>
      </c>
      <c r="F258" s="94" t="s">
        <v>235</v>
      </c>
    </row>
    <row r="259" spans="1:6" ht="18" customHeight="1" x14ac:dyDescent="0.25">
      <c r="A259" s="152"/>
      <c r="B259" s="155"/>
      <c r="C259" s="157" t="s">
        <v>230</v>
      </c>
      <c r="D259" s="157"/>
      <c r="E259" s="120"/>
      <c r="F259" s="121"/>
    </row>
    <row r="260" spans="1:6" ht="18" customHeight="1" x14ac:dyDescent="0.25">
      <c r="A260" s="152"/>
      <c r="B260" s="155"/>
      <c r="C260" s="120" t="s">
        <v>233</v>
      </c>
      <c r="D260" s="120" t="s">
        <v>228</v>
      </c>
      <c r="E260" s="120"/>
      <c r="F260" s="121"/>
    </row>
    <row r="261" spans="1:6" ht="18" customHeight="1" thickBot="1" x14ac:dyDescent="0.3">
      <c r="A261" s="153"/>
      <c r="B261" s="156"/>
      <c r="C261" s="122" t="s">
        <v>235</v>
      </c>
      <c r="D261" s="122" t="s">
        <v>234</v>
      </c>
      <c r="E261" s="122"/>
      <c r="F261" s="123"/>
    </row>
    <row r="262" spans="1:6" ht="18" customHeight="1" x14ac:dyDescent="0.25">
      <c r="A262" s="168" t="s">
        <v>307</v>
      </c>
      <c r="B262" s="158" t="s">
        <v>244</v>
      </c>
      <c r="C262" s="145" t="s">
        <v>232</v>
      </c>
      <c r="D262" s="145"/>
      <c r="E262" s="93" t="s">
        <v>233</v>
      </c>
      <c r="F262" s="94"/>
    </row>
    <row r="263" spans="1:6" ht="18" customHeight="1" x14ac:dyDescent="0.25">
      <c r="A263" s="169"/>
      <c r="B263" s="159"/>
      <c r="C263" s="161" t="s">
        <v>230</v>
      </c>
      <c r="D263" s="161"/>
      <c r="E263" s="92" t="s">
        <v>234</v>
      </c>
      <c r="F263" s="95"/>
    </row>
    <row r="264" spans="1:6" ht="18" customHeight="1" x14ac:dyDescent="0.25">
      <c r="A264" s="169"/>
      <c r="B264" s="159"/>
      <c r="C264" s="92" t="s">
        <v>233</v>
      </c>
      <c r="D264" s="92" t="s">
        <v>228</v>
      </c>
      <c r="E264" s="92"/>
      <c r="F264" s="95"/>
    </row>
    <row r="265" spans="1:6" ht="18" customHeight="1" thickBot="1" x14ac:dyDescent="0.3">
      <c r="A265" s="170"/>
      <c r="B265" s="160"/>
      <c r="C265" s="96" t="s">
        <v>235</v>
      </c>
      <c r="D265" s="96" t="s">
        <v>234</v>
      </c>
      <c r="E265" s="96"/>
      <c r="F265" s="97"/>
    </row>
    <row r="266" spans="1:6" ht="18" customHeight="1" x14ac:dyDescent="0.25">
      <c r="A266" s="162" t="s">
        <v>308</v>
      </c>
      <c r="B266" s="165" t="s">
        <v>245</v>
      </c>
      <c r="C266" s="145" t="s">
        <v>228</v>
      </c>
      <c r="D266" s="145"/>
      <c r="E266" s="93" t="s">
        <v>232</v>
      </c>
      <c r="F266" s="94"/>
    </row>
    <row r="267" spans="1:6" ht="18" customHeight="1" x14ac:dyDescent="0.25">
      <c r="A267" s="163"/>
      <c r="B267" s="166"/>
      <c r="C267" s="161" t="s">
        <v>234</v>
      </c>
      <c r="D267" s="161"/>
      <c r="E267" s="92" t="s">
        <v>230</v>
      </c>
      <c r="F267" s="95"/>
    </row>
    <row r="268" spans="1:6" ht="18" customHeight="1" x14ac:dyDescent="0.25">
      <c r="A268" s="163"/>
      <c r="B268" s="166"/>
      <c r="C268" s="92" t="s">
        <v>233</v>
      </c>
      <c r="D268" s="92" t="s">
        <v>232</v>
      </c>
      <c r="E268" s="92" t="s">
        <v>234</v>
      </c>
      <c r="F268" s="95"/>
    </row>
    <row r="269" spans="1:6" ht="18" customHeight="1" thickBot="1" x14ac:dyDescent="0.3">
      <c r="A269" s="164"/>
      <c r="B269" s="167"/>
      <c r="C269" s="96" t="s">
        <v>235</v>
      </c>
      <c r="D269" s="96" t="s">
        <v>230</v>
      </c>
      <c r="E269" s="96"/>
      <c r="F269" s="97"/>
    </row>
    <row r="270" spans="1:6" ht="18" customHeight="1" x14ac:dyDescent="0.25">
      <c r="A270" s="171" t="s">
        <v>309</v>
      </c>
      <c r="B270" s="174" t="s">
        <v>246</v>
      </c>
      <c r="C270" s="145" t="s">
        <v>233</v>
      </c>
      <c r="D270" s="145"/>
      <c r="E270" s="93" t="s">
        <v>231</v>
      </c>
      <c r="F270" s="94"/>
    </row>
    <row r="271" spans="1:6" ht="18" customHeight="1" x14ac:dyDescent="0.25">
      <c r="A271" s="172"/>
      <c r="B271" s="175"/>
      <c r="C271" s="161" t="s">
        <v>228</v>
      </c>
      <c r="D271" s="161"/>
      <c r="E271" s="92" t="s">
        <v>229</v>
      </c>
      <c r="F271" s="95"/>
    </row>
    <row r="272" spans="1:6" ht="18" customHeight="1" x14ac:dyDescent="0.25">
      <c r="A272" s="172"/>
      <c r="B272" s="175"/>
      <c r="C272" s="161" t="s">
        <v>234</v>
      </c>
      <c r="D272" s="161"/>
      <c r="E272" s="92" t="s">
        <v>234</v>
      </c>
      <c r="F272" s="95"/>
    </row>
    <row r="273" spans="1:6" ht="18" customHeight="1" thickBot="1" x14ac:dyDescent="0.3">
      <c r="A273" s="173"/>
      <c r="B273" s="176"/>
      <c r="C273" s="96" t="s">
        <v>235</v>
      </c>
      <c r="D273" s="96" t="s">
        <v>229</v>
      </c>
      <c r="E273" s="96"/>
      <c r="F273" s="97"/>
    </row>
    <row r="274" spans="1:6" ht="18" customHeight="1" x14ac:dyDescent="0.25">
      <c r="A274" s="177" t="s">
        <v>310</v>
      </c>
      <c r="B274" s="180" t="s">
        <v>241</v>
      </c>
      <c r="C274" s="145" t="s">
        <v>229</v>
      </c>
      <c r="D274" s="145"/>
      <c r="E274" s="93" t="s">
        <v>227</v>
      </c>
      <c r="F274" s="94"/>
    </row>
    <row r="275" spans="1:6" ht="18" customHeight="1" x14ac:dyDescent="0.25">
      <c r="A275" s="178"/>
      <c r="B275" s="181"/>
      <c r="C275" s="161" t="s">
        <v>235</v>
      </c>
      <c r="D275" s="161"/>
      <c r="E275" s="92" t="s">
        <v>213</v>
      </c>
      <c r="F275" s="95"/>
    </row>
    <row r="276" spans="1:6" ht="18" customHeight="1" x14ac:dyDescent="0.25">
      <c r="A276" s="178"/>
      <c r="B276" s="181"/>
      <c r="C276" s="161" t="s">
        <v>234</v>
      </c>
      <c r="D276" s="161"/>
      <c r="E276" s="92" t="s">
        <v>234</v>
      </c>
      <c r="F276" s="95"/>
    </row>
    <row r="277" spans="1:6" ht="18" customHeight="1" thickBot="1" x14ac:dyDescent="0.3">
      <c r="A277" s="179"/>
      <c r="B277" s="182"/>
      <c r="C277" s="96" t="s">
        <v>233</v>
      </c>
      <c r="D277" s="96" t="s">
        <v>213</v>
      </c>
      <c r="E277" s="96"/>
      <c r="F277" s="97"/>
    </row>
    <row r="278" spans="1:6" ht="18" customHeight="1" x14ac:dyDescent="0.25">
      <c r="A278" s="139" t="s">
        <v>311</v>
      </c>
      <c r="B278" s="142" t="s">
        <v>7</v>
      </c>
      <c r="C278" s="145" t="s">
        <v>232</v>
      </c>
      <c r="D278" s="145"/>
      <c r="E278" s="93"/>
      <c r="F278" s="94"/>
    </row>
    <row r="279" spans="1:6" ht="18" customHeight="1" x14ac:dyDescent="0.25">
      <c r="A279" s="140"/>
      <c r="B279" s="143"/>
      <c r="C279" s="161" t="s">
        <v>229</v>
      </c>
      <c r="D279" s="161"/>
      <c r="E279" s="92"/>
      <c r="F279" s="95"/>
    </row>
    <row r="280" spans="1:6" ht="18" customHeight="1" x14ac:dyDescent="0.25">
      <c r="A280" s="140"/>
      <c r="B280" s="143"/>
      <c r="C280" s="161" t="s">
        <v>228</v>
      </c>
      <c r="D280" s="161"/>
      <c r="E280" s="92"/>
      <c r="F280" s="95"/>
    </row>
    <row r="281" spans="1:6" ht="18" customHeight="1" thickBot="1" x14ac:dyDescent="0.3">
      <c r="A281" s="141"/>
      <c r="B281" s="144"/>
      <c r="C281" s="183" t="s">
        <v>213</v>
      </c>
      <c r="D281" s="183"/>
      <c r="E281" s="96"/>
      <c r="F281" s="97"/>
    </row>
    <row r="282" spans="1:6" ht="18" customHeight="1" x14ac:dyDescent="0.25">
      <c r="A282" s="146" t="s">
        <v>312</v>
      </c>
      <c r="B282" s="148" t="s">
        <v>8</v>
      </c>
      <c r="C282" s="145" t="s">
        <v>226</v>
      </c>
      <c r="D282" s="145"/>
      <c r="E282" s="93"/>
      <c r="F282" s="94"/>
    </row>
    <row r="283" spans="1:6" ht="18" customHeight="1" thickBot="1" x14ac:dyDescent="0.3">
      <c r="A283" s="147"/>
      <c r="B283" s="149"/>
      <c r="C283" s="183" t="s">
        <v>213</v>
      </c>
      <c r="D283" s="183"/>
      <c r="E283" s="96"/>
      <c r="F283" s="97"/>
    </row>
    <row r="284" spans="1:6" ht="18" customHeight="1" x14ac:dyDescent="0.25">
      <c r="B284" s="115" t="s">
        <v>242</v>
      </c>
      <c r="C284" s="150" t="s">
        <v>234</v>
      </c>
      <c r="D284" s="150"/>
      <c r="E284" s="150"/>
      <c r="F284" s="150"/>
    </row>
    <row r="287" spans="1:6" ht="18" customHeight="1" thickBot="1" x14ac:dyDescent="0.3">
      <c r="C287" s="113" t="s">
        <v>1</v>
      </c>
      <c r="D287" s="113" t="s">
        <v>2</v>
      </c>
      <c r="E287" s="113" t="s">
        <v>239</v>
      </c>
      <c r="F287" s="113" t="s">
        <v>240</v>
      </c>
    </row>
    <row r="288" spans="1:6" ht="18" customHeight="1" x14ac:dyDescent="0.25">
      <c r="A288" s="151" t="s">
        <v>313</v>
      </c>
      <c r="B288" s="154" t="s">
        <v>243</v>
      </c>
      <c r="C288" s="145" t="s">
        <v>226</v>
      </c>
      <c r="D288" s="145"/>
      <c r="E288" s="93" t="s">
        <v>233</v>
      </c>
      <c r="F288" s="94" t="s">
        <v>229</v>
      </c>
    </row>
    <row r="289" spans="1:6" ht="18" customHeight="1" x14ac:dyDescent="0.25">
      <c r="A289" s="152"/>
      <c r="B289" s="155"/>
      <c r="C289" s="157" t="s">
        <v>213</v>
      </c>
      <c r="D289" s="157"/>
      <c r="E289" s="120"/>
      <c r="F289" s="121"/>
    </row>
    <row r="290" spans="1:6" ht="18" customHeight="1" x14ac:dyDescent="0.25">
      <c r="A290" s="152"/>
      <c r="B290" s="155"/>
      <c r="C290" s="120" t="s">
        <v>231</v>
      </c>
      <c r="D290" s="120" t="s">
        <v>235</v>
      </c>
      <c r="E290" s="120"/>
      <c r="F290" s="121"/>
    </row>
    <row r="291" spans="1:6" ht="18" customHeight="1" thickBot="1" x14ac:dyDescent="0.3">
      <c r="A291" s="153"/>
      <c r="B291" s="156"/>
      <c r="C291" s="122" t="s">
        <v>229</v>
      </c>
      <c r="D291" s="122" t="s">
        <v>228</v>
      </c>
      <c r="E291" s="122"/>
      <c r="F291" s="123"/>
    </row>
    <row r="292" spans="1:6" ht="18" customHeight="1" x14ac:dyDescent="0.25">
      <c r="A292" s="168" t="s">
        <v>314</v>
      </c>
      <c r="B292" s="158" t="s">
        <v>244</v>
      </c>
      <c r="C292" s="145" t="s">
        <v>226</v>
      </c>
      <c r="D292" s="145"/>
      <c r="E292" s="93" t="s">
        <v>231</v>
      </c>
      <c r="F292" s="94"/>
    </row>
    <row r="293" spans="1:6" ht="18" customHeight="1" x14ac:dyDescent="0.25">
      <c r="A293" s="169"/>
      <c r="B293" s="159"/>
      <c r="C293" s="161" t="s">
        <v>229</v>
      </c>
      <c r="D293" s="161"/>
      <c r="E293" s="92" t="s">
        <v>233</v>
      </c>
      <c r="F293" s="95"/>
    </row>
    <row r="294" spans="1:6" ht="18" customHeight="1" x14ac:dyDescent="0.25">
      <c r="A294" s="169"/>
      <c r="B294" s="159"/>
      <c r="C294" s="161" t="s">
        <v>228</v>
      </c>
      <c r="D294" s="161"/>
      <c r="E294" s="92"/>
      <c r="F294" s="95"/>
    </row>
    <row r="295" spans="1:6" ht="18" customHeight="1" thickBot="1" x14ac:dyDescent="0.3">
      <c r="A295" s="170"/>
      <c r="B295" s="160"/>
      <c r="C295" s="96" t="s">
        <v>231</v>
      </c>
      <c r="D295" s="96" t="s">
        <v>235</v>
      </c>
      <c r="E295" s="96"/>
      <c r="F295" s="97"/>
    </row>
    <row r="296" spans="1:6" ht="18" customHeight="1" x14ac:dyDescent="0.25">
      <c r="A296" s="162" t="s">
        <v>315</v>
      </c>
      <c r="B296" s="165" t="s">
        <v>245</v>
      </c>
      <c r="C296" s="145" t="s">
        <v>231</v>
      </c>
      <c r="D296" s="145"/>
      <c r="E296" s="93" t="s">
        <v>226</v>
      </c>
      <c r="F296" s="94"/>
    </row>
    <row r="297" spans="1:6" ht="18" customHeight="1" x14ac:dyDescent="0.25">
      <c r="A297" s="163"/>
      <c r="B297" s="166"/>
      <c r="C297" s="161" t="s">
        <v>235</v>
      </c>
      <c r="D297" s="161"/>
      <c r="E297" s="92" t="s">
        <v>234</v>
      </c>
      <c r="F297" s="95"/>
    </row>
    <row r="298" spans="1:6" ht="18" customHeight="1" x14ac:dyDescent="0.25">
      <c r="A298" s="163"/>
      <c r="B298" s="166"/>
      <c r="C298" s="161" t="s">
        <v>228</v>
      </c>
      <c r="D298" s="161"/>
      <c r="E298" s="92" t="s">
        <v>233</v>
      </c>
      <c r="F298" s="95"/>
    </row>
    <row r="299" spans="1:6" ht="18" customHeight="1" thickBot="1" x14ac:dyDescent="0.3">
      <c r="A299" s="164"/>
      <c r="B299" s="167"/>
      <c r="C299" s="96" t="s">
        <v>229</v>
      </c>
      <c r="D299" s="96" t="s">
        <v>226</v>
      </c>
      <c r="E299" s="96"/>
      <c r="F299" s="97"/>
    </row>
    <row r="300" spans="1:6" ht="18" customHeight="1" x14ac:dyDescent="0.25">
      <c r="A300" s="171" t="s">
        <v>316</v>
      </c>
      <c r="B300" s="174" t="s">
        <v>246</v>
      </c>
      <c r="C300" s="145" t="s">
        <v>235</v>
      </c>
      <c r="D300" s="145"/>
      <c r="E300" s="93" t="s">
        <v>232</v>
      </c>
      <c r="F300" s="94"/>
    </row>
    <row r="301" spans="1:6" ht="18" customHeight="1" x14ac:dyDescent="0.25">
      <c r="A301" s="172"/>
      <c r="B301" s="175"/>
      <c r="C301" s="161" t="s">
        <v>228</v>
      </c>
      <c r="D301" s="161"/>
      <c r="E301" s="92" t="s">
        <v>213</v>
      </c>
      <c r="F301" s="95"/>
    </row>
    <row r="302" spans="1:6" ht="18" customHeight="1" x14ac:dyDescent="0.25">
      <c r="A302" s="172"/>
      <c r="B302" s="175"/>
      <c r="C302" s="92" t="s">
        <v>231</v>
      </c>
      <c r="D302" s="92" t="s">
        <v>232</v>
      </c>
      <c r="E302" s="92" t="s">
        <v>233</v>
      </c>
      <c r="F302" s="95"/>
    </row>
    <row r="303" spans="1:6" ht="18" customHeight="1" thickBot="1" x14ac:dyDescent="0.3">
      <c r="A303" s="173"/>
      <c r="B303" s="176"/>
      <c r="C303" s="96" t="s">
        <v>229</v>
      </c>
      <c r="D303" s="96" t="s">
        <v>213</v>
      </c>
      <c r="E303" s="96"/>
      <c r="F303" s="97"/>
    </row>
    <row r="304" spans="1:6" ht="18" customHeight="1" x14ac:dyDescent="0.25">
      <c r="A304" s="177" t="s">
        <v>317</v>
      </c>
      <c r="B304" s="180" t="s">
        <v>241</v>
      </c>
      <c r="C304" s="145" t="s">
        <v>232</v>
      </c>
      <c r="D304" s="145"/>
      <c r="E304" s="93" t="s">
        <v>230</v>
      </c>
      <c r="F304" s="94"/>
    </row>
    <row r="305" spans="1:6" ht="18" customHeight="1" x14ac:dyDescent="0.25">
      <c r="A305" s="178"/>
      <c r="B305" s="181"/>
      <c r="C305" s="161" t="s">
        <v>213</v>
      </c>
      <c r="D305" s="161"/>
      <c r="E305" s="92" t="s">
        <v>227</v>
      </c>
      <c r="F305" s="95"/>
    </row>
    <row r="306" spans="1:6" ht="18" customHeight="1" x14ac:dyDescent="0.25">
      <c r="A306" s="178"/>
      <c r="B306" s="181"/>
      <c r="C306" s="92" t="s">
        <v>231</v>
      </c>
      <c r="D306" s="92" t="s">
        <v>230</v>
      </c>
      <c r="E306" s="92" t="s">
        <v>233</v>
      </c>
      <c r="F306" s="95"/>
    </row>
    <row r="307" spans="1:6" ht="18" customHeight="1" thickBot="1" x14ac:dyDescent="0.3">
      <c r="A307" s="179"/>
      <c r="B307" s="182"/>
      <c r="C307" s="96" t="s">
        <v>229</v>
      </c>
      <c r="D307" s="96" t="s">
        <v>227</v>
      </c>
      <c r="E307" s="96"/>
      <c r="F307" s="97"/>
    </row>
    <row r="308" spans="1:6" ht="18" customHeight="1" x14ac:dyDescent="0.25">
      <c r="A308" s="139" t="s">
        <v>318</v>
      </c>
      <c r="B308" s="142" t="s">
        <v>7</v>
      </c>
      <c r="C308" s="145" t="s">
        <v>232</v>
      </c>
      <c r="D308" s="145"/>
      <c r="E308" s="93"/>
      <c r="F308" s="94"/>
    </row>
    <row r="309" spans="1:6" ht="18" customHeight="1" x14ac:dyDescent="0.25">
      <c r="A309" s="140"/>
      <c r="B309" s="143"/>
      <c r="C309" s="161" t="s">
        <v>230</v>
      </c>
      <c r="D309" s="161"/>
      <c r="E309" s="92"/>
      <c r="F309" s="95"/>
    </row>
    <row r="310" spans="1:6" ht="18" customHeight="1" x14ac:dyDescent="0.25">
      <c r="A310" s="140"/>
      <c r="B310" s="143"/>
      <c r="C310" s="161" t="s">
        <v>227</v>
      </c>
      <c r="D310" s="161"/>
      <c r="E310" s="92"/>
      <c r="F310" s="95"/>
    </row>
    <row r="311" spans="1:6" ht="18" customHeight="1" thickBot="1" x14ac:dyDescent="0.3">
      <c r="A311" s="141"/>
      <c r="B311" s="144"/>
      <c r="C311" s="183" t="s">
        <v>213</v>
      </c>
      <c r="D311" s="183"/>
      <c r="E311" s="96"/>
      <c r="F311" s="97"/>
    </row>
    <row r="312" spans="1:6" ht="18" customHeight="1" x14ac:dyDescent="0.25">
      <c r="A312" s="146" t="s">
        <v>319</v>
      </c>
      <c r="B312" s="148" t="s">
        <v>8</v>
      </c>
      <c r="C312" s="145" t="s">
        <v>230</v>
      </c>
      <c r="D312" s="145"/>
      <c r="E312" s="93"/>
      <c r="F312" s="94"/>
    </row>
    <row r="313" spans="1:6" ht="18" customHeight="1" thickBot="1" x14ac:dyDescent="0.3">
      <c r="A313" s="147"/>
      <c r="B313" s="149"/>
      <c r="C313" s="183" t="s">
        <v>227</v>
      </c>
      <c r="D313" s="183"/>
      <c r="E313" s="96"/>
      <c r="F313" s="97"/>
    </row>
    <row r="314" spans="1:6" ht="18" customHeight="1" x14ac:dyDescent="0.25">
      <c r="B314" s="115" t="s">
        <v>242</v>
      </c>
      <c r="C314" s="150" t="s">
        <v>233</v>
      </c>
      <c r="D314" s="150"/>
      <c r="E314" s="150"/>
      <c r="F314" s="150"/>
    </row>
    <row r="317" spans="1:6" ht="18" customHeight="1" thickBot="1" x14ac:dyDescent="0.3">
      <c r="C317" s="113" t="s">
        <v>1</v>
      </c>
      <c r="D317" s="113" t="s">
        <v>2</v>
      </c>
      <c r="E317" s="113" t="s">
        <v>239</v>
      </c>
      <c r="F317" s="113" t="s">
        <v>240</v>
      </c>
    </row>
    <row r="318" spans="1:6" ht="18" customHeight="1" x14ac:dyDescent="0.25">
      <c r="A318" s="151" t="s">
        <v>320</v>
      </c>
      <c r="B318" s="154" t="s">
        <v>243</v>
      </c>
      <c r="C318" s="145" t="s">
        <v>233</v>
      </c>
      <c r="D318" s="145"/>
      <c r="E318" s="93" t="s">
        <v>235</v>
      </c>
      <c r="F318" s="94" t="s">
        <v>232</v>
      </c>
    </row>
    <row r="319" spans="1:6" ht="18" customHeight="1" x14ac:dyDescent="0.25">
      <c r="A319" s="152"/>
      <c r="B319" s="155"/>
      <c r="C319" s="157" t="s">
        <v>228</v>
      </c>
      <c r="D319" s="157"/>
      <c r="E319" s="120"/>
      <c r="F319" s="121"/>
    </row>
    <row r="320" spans="1:6" ht="18" customHeight="1" x14ac:dyDescent="0.25">
      <c r="A320" s="152"/>
      <c r="B320" s="155"/>
      <c r="C320" s="120" t="s">
        <v>232</v>
      </c>
      <c r="D320" s="120" t="s">
        <v>229</v>
      </c>
      <c r="E320" s="120"/>
      <c r="F320" s="121"/>
    </row>
    <row r="321" spans="1:6" ht="18" customHeight="1" thickBot="1" x14ac:dyDescent="0.3">
      <c r="A321" s="153"/>
      <c r="B321" s="156"/>
      <c r="C321" s="122" t="s">
        <v>213</v>
      </c>
      <c r="D321" s="122" t="s">
        <v>235</v>
      </c>
      <c r="E321" s="122"/>
      <c r="F321" s="123"/>
    </row>
    <row r="322" spans="1:6" ht="18" customHeight="1" x14ac:dyDescent="0.25">
      <c r="A322" s="168" t="s">
        <v>321</v>
      </c>
      <c r="B322" s="158" t="s">
        <v>244</v>
      </c>
      <c r="C322" s="145" t="s">
        <v>233</v>
      </c>
      <c r="D322" s="145"/>
      <c r="E322" s="93" t="s">
        <v>213</v>
      </c>
      <c r="F322" s="94"/>
    </row>
    <row r="323" spans="1:6" ht="18" customHeight="1" x14ac:dyDescent="0.25">
      <c r="A323" s="169"/>
      <c r="B323" s="159"/>
      <c r="C323" s="161" t="s">
        <v>228</v>
      </c>
      <c r="D323" s="161"/>
      <c r="E323" s="92" t="s">
        <v>235</v>
      </c>
      <c r="F323" s="95"/>
    </row>
    <row r="324" spans="1:6" ht="18" customHeight="1" x14ac:dyDescent="0.25">
      <c r="A324" s="169"/>
      <c r="B324" s="159"/>
      <c r="C324" s="92" t="s">
        <v>232</v>
      </c>
      <c r="D324" s="92" t="s">
        <v>229</v>
      </c>
      <c r="E324" s="92"/>
      <c r="F324" s="95"/>
    </row>
    <row r="325" spans="1:6" ht="18" customHeight="1" thickBot="1" x14ac:dyDescent="0.3">
      <c r="A325" s="170"/>
      <c r="B325" s="160"/>
      <c r="C325" s="96" t="s">
        <v>213</v>
      </c>
      <c r="D325" s="96" t="s">
        <v>235</v>
      </c>
      <c r="E325" s="96"/>
      <c r="F325" s="97"/>
    </row>
    <row r="326" spans="1:6" ht="18" customHeight="1" x14ac:dyDescent="0.25">
      <c r="A326" s="162" t="s">
        <v>322</v>
      </c>
      <c r="B326" s="165" t="s">
        <v>245</v>
      </c>
      <c r="C326" s="145" t="s">
        <v>232</v>
      </c>
      <c r="D326" s="145"/>
      <c r="E326" s="93" t="s">
        <v>233</v>
      </c>
      <c r="F326" s="94"/>
    </row>
    <row r="327" spans="1:6" ht="18" customHeight="1" x14ac:dyDescent="0.25">
      <c r="A327" s="163"/>
      <c r="B327" s="166"/>
      <c r="C327" s="161" t="s">
        <v>229</v>
      </c>
      <c r="D327" s="161"/>
      <c r="E327" s="92" t="s">
        <v>228</v>
      </c>
      <c r="F327" s="95"/>
    </row>
    <row r="328" spans="1:6" ht="18" customHeight="1" x14ac:dyDescent="0.25">
      <c r="A328" s="163"/>
      <c r="B328" s="166"/>
      <c r="C328" s="161" t="s">
        <v>235</v>
      </c>
      <c r="D328" s="161"/>
      <c r="E328" s="92" t="s">
        <v>235</v>
      </c>
      <c r="F328" s="95"/>
    </row>
    <row r="329" spans="1:6" ht="18" customHeight="1" thickBot="1" x14ac:dyDescent="0.3">
      <c r="A329" s="164"/>
      <c r="B329" s="167"/>
      <c r="C329" s="96" t="s">
        <v>213</v>
      </c>
      <c r="D329" s="96" t="s">
        <v>228</v>
      </c>
      <c r="E329" s="96"/>
      <c r="F329" s="97"/>
    </row>
    <row r="330" spans="1:6" ht="18" customHeight="1" x14ac:dyDescent="0.25">
      <c r="A330" s="171" t="s">
        <v>323</v>
      </c>
      <c r="B330" s="174" t="s">
        <v>246</v>
      </c>
      <c r="C330" s="145" t="s">
        <v>229</v>
      </c>
      <c r="D330" s="145"/>
      <c r="E330" s="93" t="s">
        <v>226</v>
      </c>
      <c r="F330" s="94"/>
    </row>
    <row r="331" spans="1:6" ht="18" customHeight="1" x14ac:dyDescent="0.25">
      <c r="A331" s="172"/>
      <c r="B331" s="175"/>
      <c r="C331" s="161" t="s">
        <v>235</v>
      </c>
      <c r="D331" s="161"/>
      <c r="E331" s="92" t="s">
        <v>227</v>
      </c>
      <c r="F331" s="95"/>
    </row>
    <row r="332" spans="1:6" ht="18" customHeight="1" x14ac:dyDescent="0.25">
      <c r="A332" s="172"/>
      <c r="B332" s="175"/>
      <c r="C332" s="92" t="s">
        <v>232</v>
      </c>
      <c r="D332" s="92" t="s">
        <v>226</v>
      </c>
      <c r="E332" s="92" t="s">
        <v>235</v>
      </c>
      <c r="F332" s="95"/>
    </row>
    <row r="333" spans="1:6" ht="18" customHeight="1" thickBot="1" x14ac:dyDescent="0.3">
      <c r="A333" s="173"/>
      <c r="B333" s="176"/>
      <c r="C333" s="96" t="s">
        <v>213</v>
      </c>
      <c r="D333" s="96" t="s">
        <v>227</v>
      </c>
      <c r="E333" s="96"/>
      <c r="F333" s="97"/>
    </row>
    <row r="334" spans="1:6" ht="18" customHeight="1" x14ac:dyDescent="0.25">
      <c r="A334" s="177" t="s">
        <v>324</v>
      </c>
      <c r="B334" s="180" t="s">
        <v>241</v>
      </c>
      <c r="C334" s="145" t="s">
        <v>226</v>
      </c>
      <c r="D334" s="145"/>
      <c r="E334" s="93" t="s">
        <v>234</v>
      </c>
      <c r="F334" s="94"/>
    </row>
    <row r="335" spans="1:6" ht="18" customHeight="1" x14ac:dyDescent="0.25">
      <c r="A335" s="178"/>
      <c r="B335" s="181"/>
      <c r="C335" s="161" t="s">
        <v>232</v>
      </c>
      <c r="D335" s="161"/>
      <c r="E335" s="92" t="s">
        <v>230</v>
      </c>
      <c r="F335" s="95"/>
    </row>
    <row r="336" spans="1:6" ht="18" customHeight="1" x14ac:dyDescent="0.25">
      <c r="A336" s="178"/>
      <c r="B336" s="181"/>
      <c r="C336" s="161" t="s">
        <v>227</v>
      </c>
      <c r="D336" s="161"/>
      <c r="E336" s="92" t="s">
        <v>235</v>
      </c>
      <c r="F336" s="95"/>
    </row>
    <row r="337" spans="1:6" ht="18" customHeight="1" thickBot="1" x14ac:dyDescent="0.3">
      <c r="A337" s="179"/>
      <c r="B337" s="182"/>
      <c r="C337" s="183" t="s">
        <v>213</v>
      </c>
      <c r="D337" s="183"/>
      <c r="E337" s="96"/>
      <c r="F337" s="97"/>
    </row>
    <row r="338" spans="1:6" ht="18" customHeight="1" x14ac:dyDescent="0.25">
      <c r="A338" s="139" t="s">
        <v>325</v>
      </c>
      <c r="B338" s="142" t="s">
        <v>7</v>
      </c>
      <c r="C338" s="145" t="s">
        <v>231</v>
      </c>
      <c r="D338" s="145"/>
      <c r="E338" s="93"/>
      <c r="F338" s="94"/>
    </row>
    <row r="339" spans="1:6" ht="18" customHeight="1" x14ac:dyDescent="0.25">
      <c r="A339" s="140"/>
      <c r="B339" s="143"/>
      <c r="C339" s="161" t="s">
        <v>226</v>
      </c>
      <c r="D339" s="161"/>
      <c r="E339" s="92"/>
      <c r="F339" s="95"/>
    </row>
    <row r="340" spans="1:6" ht="18" customHeight="1" x14ac:dyDescent="0.25">
      <c r="A340" s="140"/>
      <c r="B340" s="143"/>
      <c r="C340" s="161" t="s">
        <v>229</v>
      </c>
      <c r="D340" s="161"/>
      <c r="E340" s="92"/>
      <c r="F340" s="95"/>
    </row>
    <row r="341" spans="1:6" ht="18" customHeight="1" thickBot="1" x14ac:dyDescent="0.3">
      <c r="A341" s="141"/>
      <c r="B341" s="144"/>
      <c r="C341" s="183" t="s">
        <v>227</v>
      </c>
      <c r="D341" s="183"/>
      <c r="E341" s="96"/>
      <c r="F341" s="97"/>
    </row>
    <row r="342" spans="1:6" ht="18" customHeight="1" x14ac:dyDescent="0.25">
      <c r="A342" s="146" t="s">
        <v>326</v>
      </c>
      <c r="B342" s="148" t="s">
        <v>8</v>
      </c>
      <c r="C342" s="145" t="s">
        <v>213</v>
      </c>
      <c r="D342" s="145"/>
      <c r="E342" s="93"/>
      <c r="F342" s="94"/>
    </row>
    <row r="343" spans="1:6" ht="18" customHeight="1" thickBot="1" x14ac:dyDescent="0.3">
      <c r="A343" s="147"/>
      <c r="B343" s="149"/>
      <c r="C343" s="96" t="s">
        <v>226</v>
      </c>
      <c r="D343" s="96" t="s">
        <v>231</v>
      </c>
      <c r="E343" s="96"/>
      <c r="F343" s="97"/>
    </row>
    <row r="344" spans="1:6" ht="18" customHeight="1" x14ac:dyDescent="0.25">
      <c r="B344" s="115" t="s">
        <v>242</v>
      </c>
      <c r="C344" s="150" t="s">
        <v>235</v>
      </c>
      <c r="D344" s="150"/>
      <c r="E344" s="150"/>
      <c r="F344" s="150"/>
    </row>
    <row r="347" spans="1:6" ht="18" customHeight="1" thickBot="1" x14ac:dyDescent="0.3">
      <c r="C347" s="113" t="s">
        <v>1</v>
      </c>
      <c r="D347" s="113" t="s">
        <v>2</v>
      </c>
      <c r="E347" s="113" t="s">
        <v>239</v>
      </c>
      <c r="F347" s="113" t="s">
        <v>240</v>
      </c>
    </row>
    <row r="348" spans="1:6" ht="18" customHeight="1" x14ac:dyDescent="0.25">
      <c r="A348" s="151" t="s">
        <v>327</v>
      </c>
      <c r="B348" s="154" t="s">
        <v>243</v>
      </c>
      <c r="C348" s="145" t="s">
        <v>231</v>
      </c>
      <c r="D348" s="145"/>
      <c r="E348" s="93" t="s">
        <v>213</v>
      </c>
      <c r="F348" s="94" t="s">
        <v>226</v>
      </c>
    </row>
    <row r="349" spans="1:6" ht="18" customHeight="1" x14ac:dyDescent="0.25">
      <c r="A349" s="152"/>
      <c r="B349" s="155"/>
      <c r="C349" s="157" t="s">
        <v>235</v>
      </c>
      <c r="D349" s="157"/>
      <c r="E349" s="120"/>
      <c r="F349" s="121"/>
    </row>
    <row r="350" spans="1:6" ht="18" customHeight="1" x14ac:dyDescent="0.25">
      <c r="A350" s="152"/>
      <c r="B350" s="155"/>
      <c r="C350" s="120" t="s">
        <v>226</v>
      </c>
      <c r="D350" s="120" t="s">
        <v>232</v>
      </c>
      <c r="E350" s="120"/>
      <c r="F350" s="121"/>
    </row>
    <row r="351" spans="1:6" ht="18" customHeight="1" thickBot="1" x14ac:dyDescent="0.3">
      <c r="A351" s="153"/>
      <c r="B351" s="156"/>
      <c r="C351" s="122" t="s">
        <v>227</v>
      </c>
      <c r="D351" s="122" t="s">
        <v>229</v>
      </c>
      <c r="E351" s="122"/>
      <c r="F351" s="123"/>
    </row>
    <row r="352" spans="1:6" ht="18" customHeight="1" x14ac:dyDescent="0.25">
      <c r="A352" s="168" t="s">
        <v>328</v>
      </c>
      <c r="B352" s="158" t="s">
        <v>244</v>
      </c>
      <c r="C352" s="145" t="s">
        <v>231</v>
      </c>
      <c r="D352" s="145"/>
      <c r="E352" s="93" t="s">
        <v>227</v>
      </c>
      <c r="F352" s="94"/>
    </row>
    <row r="353" spans="1:6" ht="18" customHeight="1" x14ac:dyDescent="0.25">
      <c r="A353" s="169"/>
      <c r="B353" s="159"/>
      <c r="C353" s="161" t="s">
        <v>235</v>
      </c>
      <c r="D353" s="161"/>
      <c r="E353" s="92" t="s">
        <v>213</v>
      </c>
      <c r="F353" s="95"/>
    </row>
    <row r="354" spans="1:6" ht="18" customHeight="1" x14ac:dyDescent="0.25">
      <c r="A354" s="169"/>
      <c r="B354" s="159"/>
      <c r="C354" s="92" t="s">
        <v>226</v>
      </c>
      <c r="D354" s="92" t="s">
        <v>232</v>
      </c>
      <c r="E354" s="92"/>
      <c r="F354" s="95"/>
    </row>
    <row r="355" spans="1:6" ht="18" customHeight="1" thickBot="1" x14ac:dyDescent="0.3">
      <c r="A355" s="170"/>
      <c r="B355" s="160"/>
      <c r="C355" s="96" t="s">
        <v>227</v>
      </c>
      <c r="D355" s="96" t="s">
        <v>229</v>
      </c>
      <c r="E355" s="96"/>
      <c r="F355" s="97"/>
    </row>
    <row r="356" spans="1:6" ht="18" customHeight="1" x14ac:dyDescent="0.25">
      <c r="A356" s="162" t="s">
        <v>329</v>
      </c>
      <c r="B356" s="165" t="s">
        <v>245</v>
      </c>
      <c r="C356" s="145" t="s">
        <v>232</v>
      </c>
      <c r="D356" s="145"/>
      <c r="E356" s="93" t="s">
        <v>231</v>
      </c>
      <c r="F356" s="94"/>
    </row>
    <row r="357" spans="1:6" ht="18" customHeight="1" x14ac:dyDescent="0.25">
      <c r="A357" s="163"/>
      <c r="B357" s="166"/>
      <c r="C357" s="161" t="s">
        <v>229</v>
      </c>
      <c r="D357" s="161"/>
      <c r="E357" s="92" t="s">
        <v>235</v>
      </c>
      <c r="F357" s="95"/>
    </row>
    <row r="358" spans="1:6" ht="18" customHeight="1" x14ac:dyDescent="0.25">
      <c r="A358" s="163"/>
      <c r="B358" s="166"/>
      <c r="C358" s="92" t="s">
        <v>226</v>
      </c>
      <c r="D358" s="92" t="s">
        <v>231</v>
      </c>
      <c r="E358" s="92" t="s">
        <v>213</v>
      </c>
      <c r="F358" s="95"/>
    </row>
    <row r="359" spans="1:6" ht="18" customHeight="1" thickBot="1" x14ac:dyDescent="0.3">
      <c r="A359" s="164"/>
      <c r="B359" s="167"/>
      <c r="C359" s="96" t="s">
        <v>227</v>
      </c>
      <c r="D359" s="96" t="s">
        <v>235</v>
      </c>
      <c r="E359" s="96"/>
      <c r="F359" s="97"/>
    </row>
    <row r="360" spans="1:6" ht="18" customHeight="1" x14ac:dyDescent="0.25">
      <c r="A360" s="171" t="s">
        <v>330</v>
      </c>
      <c r="B360" s="174" t="s">
        <v>246</v>
      </c>
      <c r="C360" s="145" t="s">
        <v>226</v>
      </c>
      <c r="D360" s="145"/>
      <c r="E360" s="93" t="s">
        <v>233</v>
      </c>
      <c r="F360" s="94"/>
    </row>
    <row r="361" spans="1:6" ht="18" customHeight="1" x14ac:dyDescent="0.25">
      <c r="A361" s="172"/>
      <c r="B361" s="175"/>
      <c r="C361" s="161" t="s">
        <v>232</v>
      </c>
      <c r="D361" s="161"/>
      <c r="E361" s="92" t="s">
        <v>230</v>
      </c>
      <c r="F361" s="95"/>
    </row>
    <row r="362" spans="1:6" ht="18" customHeight="1" x14ac:dyDescent="0.25">
      <c r="A362" s="172"/>
      <c r="B362" s="175"/>
      <c r="C362" s="161" t="s">
        <v>229</v>
      </c>
      <c r="D362" s="161"/>
      <c r="E362" s="92" t="s">
        <v>213</v>
      </c>
      <c r="F362" s="95"/>
    </row>
    <row r="363" spans="1:6" ht="18" customHeight="1" thickBot="1" x14ac:dyDescent="0.3">
      <c r="A363" s="173"/>
      <c r="B363" s="176"/>
      <c r="C363" s="183" t="s">
        <v>227</v>
      </c>
      <c r="D363" s="183"/>
      <c r="E363" s="96"/>
      <c r="F363" s="97"/>
    </row>
    <row r="364" spans="1:6" ht="18" customHeight="1" x14ac:dyDescent="0.25">
      <c r="A364" s="177" t="s">
        <v>331</v>
      </c>
      <c r="B364" s="180" t="s">
        <v>241</v>
      </c>
      <c r="C364" s="145" t="s">
        <v>233</v>
      </c>
      <c r="D364" s="145"/>
      <c r="E364" s="93" t="s">
        <v>228</v>
      </c>
      <c r="F364" s="94"/>
    </row>
    <row r="365" spans="1:6" ht="18" customHeight="1" x14ac:dyDescent="0.25">
      <c r="A365" s="178"/>
      <c r="B365" s="181"/>
      <c r="C365" s="161" t="s">
        <v>230</v>
      </c>
      <c r="D365" s="161"/>
      <c r="E365" s="92" t="s">
        <v>234</v>
      </c>
      <c r="F365" s="95"/>
    </row>
    <row r="366" spans="1:6" ht="18" customHeight="1" x14ac:dyDescent="0.25">
      <c r="A366" s="178"/>
      <c r="B366" s="181"/>
      <c r="C366" s="92" t="s">
        <v>226</v>
      </c>
      <c r="D366" s="92" t="s">
        <v>228</v>
      </c>
      <c r="E366" s="92" t="s">
        <v>213</v>
      </c>
      <c r="F366" s="95"/>
    </row>
    <row r="367" spans="1:6" ht="18" customHeight="1" thickBot="1" x14ac:dyDescent="0.3">
      <c r="A367" s="179"/>
      <c r="B367" s="182"/>
      <c r="C367" s="96" t="s">
        <v>227</v>
      </c>
      <c r="D367" s="96" t="s">
        <v>234</v>
      </c>
      <c r="E367" s="96"/>
      <c r="F367" s="97"/>
    </row>
    <row r="368" spans="1:6" ht="18" customHeight="1" x14ac:dyDescent="0.25">
      <c r="A368" s="139" t="s">
        <v>332</v>
      </c>
      <c r="B368" s="142" t="s">
        <v>7</v>
      </c>
      <c r="C368" s="145" t="s">
        <v>233</v>
      </c>
      <c r="D368" s="145"/>
      <c r="E368" s="93"/>
      <c r="F368" s="94"/>
    </row>
    <row r="369" spans="1:6" ht="18" customHeight="1" x14ac:dyDescent="0.25">
      <c r="A369" s="140"/>
      <c r="B369" s="143"/>
      <c r="C369" s="161" t="s">
        <v>228</v>
      </c>
      <c r="D369" s="161"/>
      <c r="E369" s="92"/>
      <c r="F369" s="95"/>
    </row>
    <row r="370" spans="1:6" ht="18" customHeight="1" x14ac:dyDescent="0.25">
      <c r="A370" s="140"/>
      <c r="B370" s="143"/>
      <c r="C370" s="161" t="s">
        <v>234</v>
      </c>
      <c r="D370" s="161"/>
      <c r="E370" s="92"/>
      <c r="F370" s="95"/>
    </row>
    <row r="371" spans="1:6" ht="18" customHeight="1" thickBot="1" x14ac:dyDescent="0.3">
      <c r="A371" s="141"/>
      <c r="B371" s="144"/>
      <c r="C371" s="183" t="s">
        <v>230</v>
      </c>
      <c r="D371" s="183"/>
      <c r="E371" s="96"/>
      <c r="F371" s="97"/>
    </row>
    <row r="372" spans="1:6" ht="18" customHeight="1" x14ac:dyDescent="0.25">
      <c r="A372" s="146" t="s">
        <v>333</v>
      </c>
      <c r="B372" s="148" t="s">
        <v>8</v>
      </c>
      <c r="C372" s="145" t="s">
        <v>228</v>
      </c>
      <c r="D372" s="145"/>
      <c r="E372" s="93"/>
      <c r="F372" s="94"/>
    </row>
    <row r="373" spans="1:6" ht="18" customHeight="1" thickBot="1" x14ac:dyDescent="0.3">
      <c r="A373" s="147"/>
      <c r="B373" s="149"/>
      <c r="C373" s="183" t="s">
        <v>234</v>
      </c>
      <c r="D373" s="183"/>
      <c r="E373" s="96"/>
      <c r="F373" s="97"/>
    </row>
    <row r="374" spans="1:6" ht="18" customHeight="1" x14ac:dyDescent="0.25">
      <c r="B374" s="115" t="s">
        <v>242</v>
      </c>
      <c r="C374" s="150" t="s">
        <v>213</v>
      </c>
      <c r="D374" s="150"/>
      <c r="E374" s="150"/>
      <c r="F374" s="150"/>
    </row>
    <row r="377" spans="1:6" ht="18" customHeight="1" thickBot="1" x14ac:dyDescent="0.3">
      <c r="C377" s="113" t="s">
        <v>1</v>
      </c>
      <c r="D377" s="113" t="s">
        <v>2</v>
      </c>
      <c r="E377" s="113" t="s">
        <v>239</v>
      </c>
      <c r="F377" s="113" t="s">
        <v>240</v>
      </c>
    </row>
    <row r="378" spans="1:6" ht="18" customHeight="1" x14ac:dyDescent="0.25">
      <c r="A378" s="151" t="s">
        <v>334</v>
      </c>
      <c r="B378" s="154" t="s">
        <v>243</v>
      </c>
      <c r="C378" s="145" t="s">
        <v>232</v>
      </c>
      <c r="D378" s="145"/>
      <c r="E378" s="93" t="s">
        <v>231</v>
      </c>
      <c r="F378" s="94" t="s">
        <v>233</v>
      </c>
    </row>
    <row r="379" spans="1:6" ht="18" customHeight="1" x14ac:dyDescent="0.25">
      <c r="A379" s="152"/>
      <c r="B379" s="155"/>
      <c r="C379" s="157" t="s">
        <v>230</v>
      </c>
      <c r="D379" s="157"/>
      <c r="E379" s="120"/>
      <c r="F379" s="121"/>
    </row>
    <row r="380" spans="1:6" ht="18" customHeight="1" x14ac:dyDescent="0.25">
      <c r="A380" s="152"/>
      <c r="B380" s="155"/>
      <c r="C380" s="157" t="s">
        <v>213</v>
      </c>
      <c r="D380" s="157"/>
      <c r="E380" s="120"/>
      <c r="F380" s="121"/>
    </row>
    <row r="381" spans="1:6" ht="18" customHeight="1" thickBot="1" x14ac:dyDescent="0.3">
      <c r="A381" s="153"/>
      <c r="B381" s="156"/>
      <c r="C381" s="122" t="s">
        <v>233</v>
      </c>
      <c r="D381" s="122" t="s">
        <v>226</v>
      </c>
      <c r="E381" s="122"/>
      <c r="F381" s="123"/>
    </row>
    <row r="382" spans="1:6" ht="18" customHeight="1" x14ac:dyDescent="0.25">
      <c r="A382" s="168" t="s">
        <v>335</v>
      </c>
      <c r="B382" s="158" t="s">
        <v>244</v>
      </c>
      <c r="C382" s="145" t="s">
        <v>233</v>
      </c>
      <c r="D382" s="145"/>
      <c r="E382" s="93" t="s">
        <v>230</v>
      </c>
      <c r="F382" s="94"/>
    </row>
    <row r="383" spans="1:6" ht="18" customHeight="1" x14ac:dyDescent="0.25">
      <c r="A383" s="169"/>
      <c r="B383" s="159"/>
      <c r="C383" s="161" t="s">
        <v>226</v>
      </c>
      <c r="D383" s="161"/>
      <c r="E383" s="92" t="s">
        <v>231</v>
      </c>
      <c r="F383" s="95"/>
    </row>
    <row r="384" spans="1:6" ht="18" customHeight="1" x14ac:dyDescent="0.25">
      <c r="A384" s="169"/>
      <c r="B384" s="159"/>
      <c r="C384" s="161" t="s">
        <v>213</v>
      </c>
      <c r="D384" s="161"/>
      <c r="E384" s="92"/>
      <c r="F384" s="95"/>
    </row>
    <row r="385" spans="1:6" ht="18" customHeight="1" thickBot="1" x14ac:dyDescent="0.3">
      <c r="A385" s="170"/>
      <c r="B385" s="160"/>
      <c r="C385" s="96" t="s">
        <v>230</v>
      </c>
      <c r="D385" s="96" t="s">
        <v>232</v>
      </c>
      <c r="E385" s="96"/>
      <c r="F385" s="97"/>
    </row>
    <row r="386" spans="1:6" ht="18" customHeight="1" x14ac:dyDescent="0.25">
      <c r="A386" s="162" t="s">
        <v>336</v>
      </c>
      <c r="B386" s="165" t="s">
        <v>245</v>
      </c>
      <c r="C386" s="145" t="s">
        <v>226</v>
      </c>
      <c r="D386" s="145"/>
      <c r="E386" s="93" t="s">
        <v>229</v>
      </c>
      <c r="F386" s="94"/>
    </row>
    <row r="387" spans="1:6" ht="18" customHeight="1" x14ac:dyDescent="0.25">
      <c r="A387" s="163"/>
      <c r="B387" s="166"/>
      <c r="C387" s="161" t="s">
        <v>232</v>
      </c>
      <c r="D387" s="161"/>
      <c r="E387" s="92" t="s">
        <v>213</v>
      </c>
      <c r="F387" s="95"/>
    </row>
    <row r="388" spans="1:6" ht="18" customHeight="1" x14ac:dyDescent="0.25">
      <c r="A388" s="163"/>
      <c r="B388" s="166"/>
      <c r="C388" s="161" t="s">
        <v>230</v>
      </c>
      <c r="D388" s="161"/>
      <c r="E388" s="92" t="s">
        <v>231</v>
      </c>
      <c r="F388" s="95"/>
    </row>
    <row r="389" spans="1:6" ht="18" customHeight="1" thickBot="1" x14ac:dyDescent="0.3">
      <c r="A389" s="164"/>
      <c r="B389" s="167"/>
      <c r="C389" s="96" t="s">
        <v>233</v>
      </c>
      <c r="D389" s="96" t="s">
        <v>213</v>
      </c>
      <c r="E389" s="96"/>
      <c r="F389" s="97"/>
    </row>
    <row r="390" spans="1:6" ht="18" customHeight="1" x14ac:dyDescent="0.25">
      <c r="A390" s="171" t="s">
        <v>337</v>
      </c>
      <c r="B390" s="174" t="s">
        <v>246</v>
      </c>
      <c r="C390" s="145" t="s">
        <v>226</v>
      </c>
      <c r="D390" s="145"/>
      <c r="E390" s="93" t="s">
        <v>231</v>
      </c>
      <c r="F390" s="94"/>
    </row>
    <row r="391" spans="1:6" ht="18" customHeight="1" x14ac:dyDescent="0.25">
      <c r="A391" s="172"/>
      <c r="B391" s="175"/>
      <c r="C391" s="161" t="s">
        <v>232</v>
      </c>
      <c r="D391" s="161"/>
      <c r="E391" s="92" t="s">
        <v>234</v>
      </c>
      <c r="F391" s="95"/>
    </row>
    <row r="392" spans="1:6" ht="18" customHeight="1" x14ac:dyDescent="0.25">
      <c r="A392" s="172"/>
      <c r="B392" s="175"/>
      <c r="C392" s="92" t="s">
        <v>233</v>
      </c>
      <c r="D392" s="92" t="s">
        <v>231</v>
      </c>
      <c r="E392" s="92"/>
      <c r="F392" s="95"/>
    </row>
    <row r="393" spans="1:6" ht="18" customHeight="1" thickBot="1" x14ac:dyDescent="0.3">
      <c r="A393" s="173"/>
      <c r="B393" s="176"/>
      <c r="C393" s="96" t="s">
        <v>230</v>
      </c>
      <c r="D393" s="96" t="s">
        <v>234</v>
      </c>
      <c r="E393" s="96"/>
      <c r="F393" s="97"/>
    </row>
    <row r="394" spans="1:6" ht="18" customHeight="1" x14ac:dyDescent="0.25">
      <c r="A394" s="177" t="s">
        <v>338</v>
      </c>
      <c r="B394" s="180" t="s">
        <v>241</v>
      </c>
      <c r="C394" s="145" t="s">
        <v>231</v>
      </c>
      <c r="D394" s="145"/>
      <c r="E394" s="93" t="s">
        <v>235</v>
      </c>
      <c r="F394" s="94"/>
    </row>
    <row r="395" spans="1:6" ht="18" customHeight="1" x14ac:dyDescent="0.25">
      <c r="A395" s="178"/>
      <c r="B395" s="181"/>
      <c r="C395" s="161" t="s">
        <v>233</v>
      </c>
      <c r="D395" s="161"/>
      <c r="E395" s="92" t="s">
        <v>228</v>
      </c>
      <c r="F395" s="95"/>
    </row>
    <row r="396" spans="1:6" ht="18" customHeight="1" x14ac:dyDescent="0.25">
      <c r="A396" s="178"/>
      <c r="B396" s="181"/>
      <c r="C396" s="161" t="s">
        <v>234</v>
      </c>
      <c r="D396" s="161"/>
      <c r="E396" s="92" t="s">
        <v>231</v>
      </c>
      <c r="F396" s="95"/>
    </row>
    <row r="397" spans="1:6" ht="18" customHeight="1" thickBot="1" x14ac:dyDescent="0.3">
      <c r="A397" s="179"/>
      <c r="B397" s="182"/>
      <c r="C397" s="96" t="s">
        <v>230</v>
      </c>
      <c r="D397" s="96" t="s">
        <v>227</v>
      </c>
      <c r="E397" s="96"/>
      <c r="F397" s="97"/>
    </row>
    <row r="398" spans="1:6" ht="18" customHeight="1" x14ac:dyDescent="0.25">
      <c r="A398" s="139" t="s">
        <v>339</v>
      </c>
      <c r="B398" s="142" t="s">
        <v>7</v>
      </c>
      <c r="C398" s="145" t="s">
        <v>231</v>
      </c>
      <c r="D398" s="145"/>
      <c r="E398" s="93"/>
      <c r="F398" s="94"/>
    </row>
    <row r="399" spans="1:6" ht="18" customHeight="1" x14ac:dyDescent="0.25">
      <c r="A399" s="140"/>
      <c r="B399" s="143"/>
      <c r="C399" s="161" t="s">
        <v>226</v>
      </c>
      <c r="D399" s="161"/>
      <c r="E399" s="92"/>
      <c r="F399" s="95"/>
    </row>
    <row r="400" spans="1:6" ht="18" customHeight="1" x14ac:dyDescent="0.25">
      <c r="A400" s="140"/>
      <c r="B400" s="143"/>
      <c r="C400" s="161" t="s">
        <v>234</v>
      </c>
      <c r="D400" s="161"/>
      <c r="E400" s="92"/>
      <c r="F400" s="95"/>
    </row>
    <row r="401" spans="1:6" ht="18" customHeight="1" thickBot="1" x14ac:dyDescent="0.3">
      <c r="A401" s="141"/>
      <c r="B401" s="144"/>
      <c r="C401" s="183" t="s">
        <v>227</v>
      </c>
      <c r="D401" s="183"/>
      <c r="E401" s="96"/>
      <c r="F401" s="97"/>
    </row>
    <row r="402" spans="1:6" ht="18" customHeight="1" x14ac:dyDescent="0.25">
      <c r="A402" s="146" t="s">
        <v>340</v>
      </c>
      <c r="B402" s="148" t="s">
        <v>8</v>
      </c>
      <c r="C402" s="145" t="s">
        <v>232</v>
      </c>
      <c r="D402" s="145"/>
      <c r="E402" s="93"/>
      <c r="F402" s="94"/>
    </row>
    <row r="403" spans="1:6" ht="18" customHeight="1" thickBot="1" x14ac:dyDescent="0.3">
      <c r="A403" s="147"/>
      <c r="B403" s="149"/>
      <c r="C403" s="96" t="s">
        <v>226</v>
      </c>
      <c r="D403" s="96" t="s">
        <v>227</v>
      </c>
      <c r="E403" s="96"/>
      <c r="F403" s="97"/>
    </row>
    <row r="404" spans="1:6" ht="18" customHeight="1" x14ac:dyDescent="0.25">
      <c r="B404" s="115" t="s">
        <v>242</v>
      </c>
      <c r="C404" s="150" t="s">
        <v>231</v>
      </c>
      <c r="D404" s="150"/>
      <c r="E404" s="150"/>
      <c r="F404" s="150"/>
    </row>
    <row r="407" spans="1:6" ht="18" customHeight="1" thickBot="1" x14ac:dyDescent="0.3">
      <c r="C407" s="113" t="s">
        <v>1</v>
      </c>
      <c r="D407" s="113" t="s">
        <v>2</v>
      </c>
      <c r="E407" s="113" t="s">
        <v>239</v>
      </c>
      <c r="F407" s="113" t="s">
        <v>240</v>
      </c>
    </row>
    <row r="408" spans="1:6" ht="18" customHeight="1" x14ac:dyDescent="0.25">
      <c r="A408" s="151" t="s">
        <v>341</v>
      </c>
      <c r="B408" s="154" t="s">
        <v>243</v>
      </c>
      <c r="C408" s="145" t="s">
        <v>232</v>
      </c>
      <c r="D408" s="145"/>
      <c r="E408" s="93" t="s">
        <v>230</v>
      </c>
      <c r="F408" s="94" t="s">
        <v>231</v>
      </c>
    </row>
    <row r="409" spans="1:6" ht="18" customHeight="1" x14ac:dyDescent="0.25">
      <c r="A409" s="152"/>
      <c r="B409" s="155"/>
      <c r="C409" s="157" t="s">
        <v>227</v>
      </c>
      <c r="D409" s="157"/>
      <c r="E409" s="120"/>
      <c r="F409" s="121"/>
    </row>
    <row r="410" spans="1:6" ht="18" customHeight="1" x14ac:dyDescent="0.25">
      <c r="A410" s="152"/>
      <c r="B410" s="155"/>
      <c r="C410" s="120" t="s">
        <v>231</v>
      </c>
      <c r="D410" s="120" t="s">
        <v>233</v>
      </c>
      <c r="E410" s="120"/>
      <c r="F410" s="121"/>
    </row>
    <row r="411" spans="1:6" ht="18" customHeight="1" thickBot="1" x14ac:dyDescent="0.3">
      <c r="A411" s="153"/>
      <c r="B411" s="156"/>
      <c r="C411" s="122" t="s">
        <v>234</v>
      </c>
      <c r="D411" s="122" t="s">
        <v>226</v>
      </c>
      <c r="E411" s="122"/>
      <c r="F411" s="123"/>
    </row>
    <row r="412" spans="1:6" ht="18" customHeight="1" x14ac:dyDescent="0.25">
      <c r="A412" s="168" t="s">
        <v>342</v>
      </c>
      <c r="B412" s="158" t="s">
        <v>244</v>
      </c>
      <c r="C412" s="145" t="s">
        <v>232</v>
      </c>
      <c r="D412" s="145"/>
      <c r="E412" s="93" t="s">
        <v>234</v>
      </c>
      <c r="F412" s="94"/>
    </row>
    <row r="413" spans="1:6" ht="18" customHeight="1" x14ac:dyDescent="0.25">
      <c r="A413" s="169"/>
      <c r="B413" s="159"/>
      <c r="C413" s="161" t="s">
        <v>227</v>
      </c>
      <c r="D413" s="161"/>
      <c r="E413" s="92" t="s">
        <v>230</v>
      </c>
      <c r="F413" s="95"/>
    </row>
    <row r="414" spans="1:6" ht="18" customHeight="1" x14ac:dyDescent="0.25">
      <c r="A414" s="169"/>
      <c r="B414" s="159"/>
      <c r="C414" s="92" t="s">
        <v>231</v>
      </c>
      <c r="D414" s="92" t="s">
        <v>233</v>
      </c>
      <c r="E414" s="92"/>
      <c r="F414" s="95"/>
    </row>
    <row r="415" spans="1:6" ht="18" customHeight="1" thickBot="1" x14ac:dyDescent="0.3">
      <c r="A415" s="170"/>
      <c r="B415" s="160"/>
      <c r="C415" s="96" t="s">
        <v>234</v>
      </c>
      <c r="D415" s="96" t="s">
        <v>226</v>
      </c>
      <c r="E415" s="96"/>
      <c r="F415" s="97"/>
    </row>
    <row r="416" spans="1:6" ht="18" customHeight="1" x14ac:dyDescent="0.25">
      <c r="A416" s="162" t="s">
        <v>343</v>
      </c>
      <c r="B416" s="165" t="s">
        <v>245</v>
      </c>
      <c r="C416" s="145" t="s">
        <v>233</v>
      </c>
      <c r="D416" s="145"/>
      <c r="E416" s="93" t="s">
        <v>232</v>
      </c>
      <c r="F416" s="94"/>
    </row>
    <row r="417" spans="1:6" ht="18" customHeight="1" x14ac:dyDescent="0.25">
      <c r="A417" s="163"/>
      <c r="B417" s="166"/>
      <c r="C417" s="161" t="s">
        <v>226</v>
      </c>
      <c r="D417" s="161"/>
      <c r="E417" s="92" t="s">
        <v>227</v>
      </c>
      <c r="F417" s="95"/>
    </row>
    <row r="418" spans="1:6" ht="18" customHeight="1" x14ac:dyDescent="0.25">
      <c r="A418" s="163"/>
      <c r="B418" s="166"/>
      <c r="C418" s="92" t="s">
        <v>231</v>
      </c>
      <c r="D418" s="92" t="s">
        <v>232</v>
      </c>
      <c r="E418" s="92" t="s">
        <v>230</v>
      </c>
      <c r="F418" s="95"/>
    </row>
    <row r="419" spans="1:6" ht="18" customHeight="1" thickBot="1" x14ac:dyDescent="0.3">
      <c r="A419" s="164"/>
      <c r="B419" s="167"/>
      <c r="C419" s="96" t="s">
        <v>234</v>
      </c>
      <c r="D419" s="96" t="s">
        <v>227</v>
      </c>
      <c r="E419" s="96"/>
      <c r="F419" s="97"/>
    </row>
    <row r="420" spans="1:6" ht="18" customHeight="1" x14ac:dyDescent="0.25">
      <c r="A420" s="171" t="s">
        <v>344</v>
      </c>
      <c r="B420" s="174" t="s">
        <v>246</v>
      </c>
      <c r="C420" s="145" t="s">
        <v>233</v>
      </c>
      <c r="D420" s="145"/>
      <c r="E420" s="93" t="s">
        <v>228</v>
      </c>
      <c r="F420" s="94"/>
    </row>
    <row r="421" spans="1:6" ht="18" customHeight="1" x14ac:dyDescent="0.25">
      <c r="A421" s="172"/>
      <c r="B421" s="175"/>
      <c r="C421" s="161" t="s">
        <v>226</v>
      </c>
      <c r="D421" s="161"/>
      <c r="E421" s="92" t="s">
        <v>213</v>
      </c>
      <c r="F421" s="95"/>
    </row>
    <row r="422" spans="1:6" ht="18" customHeight="1" x14ac:dyDescent="0.25">
      <c r="A422" s="172"/>
      <c r="B422" s="175"/>
      <c r="C422" s="92" t="s">
        <v>231</v>
      </c>
      <c r="D422" s="92" t="s">
        <v>228</v>
      </c>
      <c r="E422" s="92" t="s">
        <v>230</v>
      </c>
      <c r="F422" s="95"/>
    </row>
    <row r="423" spans="1:6" ht="18" customHeight="1" thickBot="1" x14ac:dyDescent="0.3">
      <c r="A423" s="173"/>
      <c r="B423" s="176"/>
      <c r="C423" s="96" t="s">
        <v>234</v>
      </c>
      <c r="D423" s="96" t="s">
        <v>213</v>
      </c>
      <c r="E423" s="96"/>
      <c r="F423" s="97"/>
    </row>
    <row r="424" spans="1:6" ht="18" customHeight="1" x14ac:dyDescent="0.25">
      <c r="A424" s="177" t="s">
        <v>345</v>
      </c>
      <c r="B424" s="180" t="s">
        <v>241</v>
      </c>
      <c r="C424" s="145" t="s">
        <v>228</v>
      </c>
      <c r="D424" s="145"/>
      <c r="E424" s="93" t="s">
        <v>229</v>
      </c>
      <c r="F424" s="94"/>
    </row>
    <row r="425" spans="1:6" ht="18" customHeight="1" x14ac:dyDescent="0.25">
      <c r="A425" s="178"/>
      <c r="B425" s="181"/>
      <c r="C425" s="161" t="s">
        <v>234</v>
      </c>
      <c r="D425" s="161"/>
      <c r="E425" s="92" t="s">
        <v>235</v>
      </c>
      <c r="F425" s="95"/>
    </row>
    <row r="426" spans="1:6" ht="18" customHeight="1" x14ac:dyDescent="0.25">
      <c r="A426" s="178"/>
      <c r="B426" s="181"/>
      <c r="C426" s="161" t="s">
        <v>213</v>
      </c>
      <c r="D426" s="161"/>
      <c r="E426" s="92" t="s">
        <v>230</v>
      </c>
      <c r="F426" s="95"/>
    </row>
    <row r="427" spans="1:6" ht="18" customHeight="1" thickBot="1" x14ac:dyDescent="0.3">
      <c r="A427" s="179"/>
      <c r="B427" s="182"/>
      <c r="C427" s="96" t="s">
        <v>231</v>
      </c>
      <c r="D427" s="96" t="s">
        <v>235</v>
      </c>
      <c r="E427" s="96"/>
      <c r="F427" s="97"/>
    </row>
    <row r="428" spans="1:6" ht="18" customHeight="1" x14ac:dyDescent="0.25">
      <c r="A428" s="139" t="s">
        <v>346</v>
      </c>
      <c r="B428" s="142" t="s">
        <v>7</v>
      </c>
      <c r="C428" s="145" t="s">
        <v>235</v>
      </c>
      <c r="D428" s="145"/>
      <c r="E428" s="93"/>
      <c r="F428" s="94"/>
    </row>
    <row r="429" spans="1:6" ht="18" customHeight="1" x14ac:dyDescent="0.25">
      <c r="A429" s="140"/>
      <c r="B429" s="143"/>
      <c r="C429" s="161" t="s">
        <v>228</v>
      </c>
      <c r="D429" s="161"/>
      <c r="E429" s="92"/>
      <c r="F429" s="95"/>
    </row>
    <row r="430" spans="1:6" ht="18" customHeight="1" x14ac:dyDescent="0.25">
      <c r="A430" s="140"/>
      <c r="B430" s="143"/>
      <c r="C430" s="161" t="s">
        <v>227</v>
      </c>
      <c r="D430" s="161"/>
      <c r="E430" s="92"/>
      <c r="F430" s="95"/>
    </row>
    <row r="431" spans="1:6" ht="18" customHeight="1" thickBot="1" x14ac:dyDescent="0.3">
      <c r="A431" s="141"/>
      <c r="B431" s="144"/>
      <c r="C431" s="183" t="s">
        <v>213</v>
      </c>
      <c r="D431" s="183"/>
      <c r="E431" s="96"/>
      <c r="F431" s="97"/>
    </row>
    <row r="432" spans="1:6" ht="18" customHeight="1" x14ac:dyDescent="0.25">
      <c r="A432" s="146" t="s">
        <v>347</v>
      </c>
      <c r="B432" s="148" t="s">
        <v>8</v>
      </c>
      <c r="C432" s="145" t="s">
        <v>233</v>
      </c>
      <c r="D432" s="145"/>
      <c r="E432" s="93"/>
      <c r="F432" s="94"/>
    </row>
    <row r="433" spans="1:6" ht="18" customHeight="1" thickBot="1" x14ac:dyDescent="0.3">
      <c r="A433" s="147"/>
      <c r="B433" s="149"/>
      <c r="C433" s="183" t="s">
        <v>235</v>
      </c>
      <c r="D433" s="183"/>
      <c r="E433" s="96"/>
      <c r="F433" s="97"/>
    </row>
    <row r="434" spans="1:6" ht="18" customHeight="1" x14ac:dyDescent="0.25">
      <c r="B434" s="115" t="s">
        <v>242</v>
      </c>
      <c r="C434" s="150" t="s">
        <v>230</v>
      </c>
      <c r="D434" s="150"/>
      <c r="E434" s="150"/>
      <c r="F434" s="150"/>
    </row>
    <row r="437" spans="1:6" ht="18" customHeight="1" thickBot="1" x14ac:dyDescent="0.3">
      <c r="C437" s="113" t="s">
        <v>1</v>
      </c>
      <c r="D437" s="113" t="s">
        <v>2</v>
      </c>
      <c r="E437" s="113" t="s">
        <v>239</v>
      </c>
      <c r="F437" s="113" t="s">
        <v>240</v>
      </c>
    </row>
    <row r="438" spans="1:6" ht="18" customHeight="1" x14ac:dyDescent="0.25">
      <c r="A438" s="151" t="s">
        <v>348</v>
      </c>
      <c r="B438" s="154" t="s">
        <v>243</v>
      </c>
      <c r="C438" s="145" t="s">
        <v>226</v>
      </c>
      <c r="D438" s="145"/>
      <c r="E438" s="93" t="s">
        <v>226</v>
      </c>
      <c r="F438" s="94" t="s">
        <v>213</v>
      </c>
    </row>
    <row r="439" spans="1:6" ht="18" customHeight="1" x14ac:dyDescent="0.25">
      <c r="A439" s="152"/>
      <c r="B439" s="155"/>
      <c r="C439" s="157" t="s">
        <v>234</v>
      </c>
      <c r="D439" s="157"/>
      <c r="E439" s="120"/>
      <c r="F439" s="121"/>
    </row>
    <row r="440" spans="1:6" ht="18" customHeight="1" x14ac:dyDescent="0.25">
      <c r="A440" s="152"/>
      <c r="B440" s="155"/>
      <c r="C440" s="157" t="s">
        <v>213</v>
      </c>
      <c r="D440" s="157"/>
      <c r="E440" s="120"/>
      <c r="F440" s="121"/>
    </row>
    <row r="441" spans="1:6" ht="18" customHeight="1" thickBot="1" x14ac:dyDescent="0.3">
      <c r="A441" s="153"/>
      <c r="B441" s="156"/>
      <c r="C441" s="122" t="s">
        <v>228</v>
      </c>
      <c r="D441" s="122" t="s">
        <v>231</v>
      </c>
      <c r="E441" s="122"/>
      <c r="F441" s="123"/>
    </row>
    <row r="442" spans="1:6" ht="18" customHeight="1" x14ac:dyDescent="0.25">
      <c r="A442" s="168" t="s">
        <v>349</v>
      </c>
      <c r="B442" s="158" t="s">
        <v>244</v>
      </c>
      <c r="C442" s="145" t="s">
        <v>226</v>
      </c>
      <c r="D442" s="145"/>
      <c r="E442" s="93" t="s">
        <v>228</v>
      </c>
      <c r="F442" s="94"/>
    </row>
    <row r="443" spans="1:6" ht="18" customHeight="1" x14ac:dyDescent="0.25">
      <c r="A443" s="169"/>
      <c r="B443" s="159"/>
      <c r="C443" s="161" t="s">
        <v>228</v>
      </c>
      <c r="D443" s="161"/>
      <c r="E443" s="92" t="s">
        <v>226</v>
      </c>
      <c r="F443" s="95"/>
    </row>
    <row r="444" spans="1:6" ht="18" customHeight="1" x14ac:dyDescent="0.25">
      <c r="A444" s="169"/>
      <c r="B444" s="159"/>
      <c r="C444" s="161" t="s">
        <v>234</v>
      </c>
      <c r="D444" s="161"/>
      <c r="E444" s="92"/>
      <c r="F444" s="95"/>
    </row>
    <row r="445" spans="1:6" ht="18" customHeight="1" thickBot="1" x14ac:dyDescent="0.3">
      <c r="A445" s="170"/>
      <c r="B445" s="160"/>
      <c r="C445" s="96" t="s">
        <v>213</v>
      </c>
      <c r="D445" s="96" t="s">
        <v>231</v>
      </c>
      <c r="E445" s="96"/>
      <c r="F445" s="97"/>
    </row>
    <row r="446" spans="1:6" ht="18" customHeight="1" x14ac:dyDescent="0.25">
      <c r="A446" s="162" t="s">
        <v>350</v>
      </c>
      <c r="B446" s="165" t="s">
        <v>245</v>
      </c>
      <c r="C446" s="145" t="s">
        <v>231</v>
      </c>
      <c r="D446" s="145"/>
      <c r="E446" s="93" t="s">
        <v>226</v>
      </c>
      <c r="F446" s="94"/>
    </row>
    <row r="447" spans="1:6" ht="18" customHeight="1" x14ac:dyDescent="0.25">
      <c r="A447" s="163"/>
      <c r="B447" s="166"/>
      <c r="C447" s="161" t="s">
        <v>227</v>
      </c>
      <c r="D447" s="161"/>
      <c r="E447" s="92" t="s">
        <v>230</v>
      </c>
      <c r="F447" s="95"/>
    </row>
    <row r="448" spans="1:6" ht="18" customHeight="1" x14ac:dyDescent="0.25">
      <c r="A448" s="163"/>
      <c r="B448" s="166"/>
      <c r="C448" s="92" t="s">
        <v>228</v>
      </c>
      <c r="D448" s="92" t="s">
        <v>226</v>
      </c>
      <c r="E448" s="92"/>
      <c r="F448" s="95"/>
    </row>
    <row r="449" spans="1:6" ht="18" customHeight="1" thickBot="1" x14ac:dyDescent="0.3">
      <c r="A449" s="164"/>
      <c r="B449" s="167"/>
      <c r="C449" s="96" t="s">
        <v>213</v>
      </c>
      <c r="D449" s="96" t="s">
        <v>229</v>
      </c>
      <c r="E449" s="96"/>
      <c r="F449" s="97"/>
    </row>
    <row r="450" spans="1:6" ht="18" customHeight="1" x14ac:dyDescent="0.25">
      <c r="A450" s="171" t="s">
        <v>351</v>
      </c>
      <c r="B450" s="174" t="s">
        <v>246</v>
      </c>
      <c r="C450" s="145" t="s">
        <v>231</v>
      </c>
      <c r="D450" s="145"/>
      <c r="E450" s="93" t="s">
        <v>235</v>
      </c>
      <c r="F450" s="94"/>
    </row>
    <row r="451" spans="1:6" ht="18" customHeight="1" x14ac:dyDescent="0.25">
      <c r="A451" s="172"/>
      <c r="B451" s="175"/>
      <c r="C451" s="161" t="s">
        <v>235</v>
      </c>
      <c r="D451" s="161"/>
      <c r="E451" s="92" t="s">
        <v>227</v>
      </c>
      <c r="F451" s="95"/>
    </row>
    <row r="452" spans="1:6" ht="18" customHeight="1" x14ac:dyDescent="0.25">
      <c r="A452" s="172"/>
      <c r="B452" s="175"/>
      <c r="C452" s="161" t="s">
        <v>228</v>
      </c>
      <c r="D452" s="161"/>
      <c r="E452" s="92" t="s">
        <v>226</v>
      </c>
      <c r="F452" s="95"/>
    </row>
    <row r="453" spans="1:6" ht="18" customHeight="1" thickBot="1" x14ac:dyDescent="0.3">
      <c r="A453" s="173"/>
      <c r="B453" s="176"/>
      <c r="C453" s="96" t="s">
        <v>213</v>
      </c>
      <c r="D453" s="96" t="s">
        <v>227</v>
      </c>
      <c r="E453" s="96"/>
      <c r="F453" s="97"/>
    </row>
    <row r="454" spans="1:6" ht="18" customHeight="1" x14ac:dyDescent="0.25">
      <c r="A454" s="177" t="s">
        <v>352</v>
      </c>
      <c r="B454" s="180" t="s">
        <v>241</v>
      </c>
      <c r="C454" s="145" t="s">
        <v>235</v>
      </c>
      <c r="D454" s="145"/>
      <c r="E454" s="93" t="s">
        <v>232</v>
      </c>
      <c r="F454" s="94"/>
    </row>
    <row r="455" spans="1:6" ht="18" customHeight="1" x14ac:dyDescent="0.25">
      <c r="A455" s="178"/>
      <c r="B455" s="181"/>
      <c r="C455" s="161" t="s">
        <v>227</v>
      </c>
      <c r="D455" s="161"/>
      <c r="E455" s="92" t="s">
        <v>229</v>
      </c>
      <c r="F455" s="95"/>
    </row>
    <row r="456" spans="1:6" ht="18" customHeight="1" x14ac:dyDescent="0.25">
      <c r="A456" s="178"/>
      <c r="B456" s="181"/>
      <c r="C456" s="161" t="s">
        <v>213</v>
      </c>
      <c r="D456" s="161"/>
      <c r="E456" s="92" t="s">
        <v>226</v>
      </c>
      <c r="F456" s="95"/>
    </row>
    <row r="457" spans="1:6" ht="18" customHeight="1" thickBot="1" x14ac:dyDescent="0.3">
      <c r="A457" s="179"/>
      <c r="B457" s="182"/>
      <c r="C457" s="96" t="s">
        <v>228</v>
      </c>
      <c r="D457" s="96" t="s">
        <v>229</v>
      </c>
      <c r="E457" s="96"/>
      <c r="F457" s="97"/>
    </row>
    <row r="458" spans="1:6" ht="18" customHeight="1" x14ac:dyDescent="0.25">
      <c r="A458" s="139" t="s">
        <v>353</v>
      </c>
      <c r="B458" s="142" t="s">
        <v>7</v>
      </c>
      <c r="C458" s="145" t="s">
        <v>229</v>
      </c>
      <c r="D458" s="145"/>
      <c r="E458" s="93"/>
      <c r="F458" s="94"/>
    </row>
    <row r="459" spans="1:6" ht="18" customHeight="1" thickBot="1" x14ac:dyDescent="0.3">
      <c r="A459" s="141"/>
      <c r="B459" s="144"/>
      <c r="C459" s="183" t="s">
        <v>235</v>
      </c>
      <c r="D459" s="183"/>
      <c r="E459" s="96"/>
      <c r="F459" s="97"/>
    </row>
    <row r="460" spans="1:6" ht="18" customHeight="1" x14ac:dyDescent="0.25">
      <c r="A460" s="146" t="s">
        <v>354</v>
      </c>
      <c r="B460" s="148" t="s">
        <v>8</v>
      </c>
      <c r="C460" s="145" t="s">
        <v>229</v>
      </c>
      <c r="D460" s="145"/>
      <c r="E460" s="93"/>
      <c r="F460" s="94"/>
    </row>
    <row r="461" spans="1:6" ht="18" customHeight="1" thickBot="1" x14ac:dyDescent="0.3">
      <c r="A461" s="147"/>
      <c r="B461" s="149"/>
      <c r="C461" s="183" t="s">
        <v>228</v>
      </c>
      <c r="D461" s="183"/>
      <c r="E461" s="96"/>
      <c r="F461" s="97"/>
    </row>
    <row r="462" spans="1:6" ht="18" customHeight="1" x14ac:dyDescent="0.25">
      <c r="B462" s="115" t="s">
        <v>242</v>
      </c>
      <c r="C462" s="150" t="s">
        <v>226</v>
      </c>
      <c r="D462" s="150"/>
      <c r="E462" s="150"/>
      <c r="F462" s="150"/>
    </row>
    <row r="465" spans="1:6" ht="18" customHeight="1" thickBot="1" x14ac:dyDescent="0.3">
      <c r="C465" s="113" t="s">
        <v>1</v>
      </c>
      <c r="D465" s="113" t="s">
        <v>2</v>
      </c>
      <c r="E465" s="113" t="s">
        <v>239</v>
      </c>
      <c r="F465" s="113" t="s">
        <v>240</v>
      </c>
    </row>
    <row r="466" spans="1:6" ht="18" customHeight="1" x14ac:dyDescent="0.25">
      <c r="A466" s="151" t="s">
        <v>355</v>
      </c>
      <c r="B466" s="154" t="s">
        <v>243</v>
      </c>
      <c r="C466" s="145" t="s">
        <v>226</v>
      </c>
      <c r="D466" s="145"/>
      <c r="E466" s="93" t="s">
        <v>228</v>
      </c>
      <c r="F466" s="94" t="s">
        <v>227</v>
      </c>
    </row>
    <row r="467" spans="1:6" ht="18" customHeight="1" x14ac:dyDescent="0.25">
      <c r="A467" s="152"/>
      <c r="B467" s="155"/>
      <c r="C467" s="157" t="s">
        <v>228</v>
      </c>
      <c r="D467" s="157"/>
      <c r="E467" s="120"/>
      <c r="F467" s="121"/>
    </row>
    <row r="468" spans="1:6" ht="18" customHeight="1" x14ac:dyDescent="0.25">
      <c r="A468" s="152"/>
      <c r="B468" s="155"/>
      <c r="C468" s="120" t="s">
        <v>235</v>
      </c>
      <c r="D468" s="120" t="s">
        <v>231</v>
      </c>
      <c r="E468" s="120"/>
      <c r="F468" s="121"/>
    </row>
    <row r="469" spans="1:6" ht="18" customHeight="1" thickBot="1" x14ac:dyDescent="0.3">
      <c r="A469" s="153"/>
      <c r="B469" s="156"/>
      <c r="C469" s="122" t="s">
        <v>227</v>
      </c>
      <c r="D469" s="122" t="s">
        <v>213</v>
      </c>
      <c r="E469" s="122"/>
      <c r="F469" s="123"/>
    </row>
    <row r="470" spans="1:6" ht="18" customHeight="1" x14ac:dyDescent="0.25">
      <c r="A470" s="168" t="s">
        <v>356</v>
      </c>
      <c r="B470" s="158" t="s">
        <v>244</v>
      </c>
      <c r="C470" s="145" t="s">
        <v>226</v>
      </c>
      <c r="D470" s="145"/>
      <c r="E470" s="93" t="s">
        <v>235</v>
      </c>
      <c r="F470" s="94"/>
    </row>
    <row r="471" spans="1:6" ht="18" customHeight="1" x14ac:dyDescent="0.25">
      <c r="A471" s="169"/>
      <c r="B471" s="159"/>
      <c r="C471" s="161" t="s">
        <v>228</v>
      </c>
      <c r="D471" s="161"/>
      <c r="E471" s="92" t="s">
        <v>228</v>
      </c>
      <c r="F471" s="95"/>
    </row>
    <row r="472" spans="1:6" ht="18" customHeight="1" x14ac:dyDescent="0.25">
      <c r="A472" s="169"/>
      <c r="B472" s="159"/>
      <c r="C472" s="92" t="s">
        <v>235</v>
      </c>
      <c r="D472" s="92" t="s">
        <v>231</v>
      </c>
      <c r="E472" s="92"/>
      <c r="F472" s="95"/>
    </row>
    <row r="473" spans="1:6" ht="18" customHeight="1" thickBot="1" x14ac:dyDescent="0.3">
      <c r="A473" s="170"/>
      <c r="B473" s="160"/>
      <c r="C473" s="96" t="s">
        <v>227</v>
      </c>
      <c r="D473" s="96" t="s">
        <v>213</v>
      </c>
      <c r="E473" s="96"/>
      <c r="F473" s="97"/>
    </row>
    <row r="474" spans="1:6" ht="18" customHeight="1" x14ac:dyDescent="0.25">
      <c r="A474" s="162" t="s">
        <v>357</v>
      </c>
      <c r="B474" s="165" t="s">
        <v>245</v>
      </c>
      <c r="C474" s="145" t="s">
        <v>231</v>
      </c>
      <c r="D474" s="145"/>
      <c r="E474" s="93" t="s">
        <v>233</v>
      </c>
      <c r="F474" s="94"/>
    </row>
    <row r="475" spans="1:6" ht="18" customHeight="1" x14ac:dyDescent="0.25">
      <c r="A475" s="163"/>
      <c r="B475" s="166"/>
      <c r="C475" s="161" t="s">
        <v>213</v>
      </c>
      <c r="D475" s="161"/>
      <c r="E475" s="92" t="s">
        <v>234</v>
      </c>
      <c r="F475" s="95"/>
    </row>
    <row r="476" spans="1:6" ht="18" customHeight="1" x14ac:dyDescent="0.25">
      <c r="A476" s="163"/>
      <c r="B476" s="166"/>
      <c r="C476" s="92" t="s">
        <v>235</v>
      </c>
      <c r="D476" s="92" t="s">
        <v>229</v>
      </c>
      <c r="E476" s="92" t="s">
        <v>228</v>
      </c>
      <c r="F476" s="95"/>
    </row>
    <row r="477" spans="1:6" ht="18" customHeight="1" thickBot="1" x14ac:dyDescent="0.3">
      <c r="A477" s="164"/>
      <c r="B477" s="167"/>
      <c r="C477" s="96" t="s">
        <v>227</v>
      </c>
      <c r="D477" s="96" t="s">
        <v>228</v>
      </c>
      <c r="E477" s="96"/>
      <c r="F477" s="97"/>
    </row>
    <row r="478" spans="1:6" ht="18" customHeight="1" x14ac:dyDescent="0.25">
      <c r="A478" s="171" t="s">
        <v>358</v>
      </c>
      <c r="B478" s="174" t="s">
        <v>246</v>
      </c>
      <c r="C478" s="145" t="s">
        <v>231</v>
      </c>
      <c r="D478" s="145"/>
      <c r="E478" s="93" t="s">
        <v>229</v>
      </c>
      <c r="F478" s="94"/>
    </row>
    <row r="479" spans="1:6" ht="18" customHeight="1" x14ac:dyDescent="0.25">
      <c r="A479" s="172"/>
      <c r="B479" s="175"/>
      <c r="C479" s="161" t="s">
        <v>213</v>
      </c>
      <c r="D479" s="161"/>
      <c r="E479" s="92" t="s">
        <v>230</v>
      </c>
      <c r="F479" s="95"/>
    </row>
    <row r="480" spans="1:6" ht="18" customHeight="1" x14ac:dyDescent="0.25">
      <c r="A480" s="172"/>
      <c r="B480" s="175"/>
      <c r="C480" s="92" t="s">
        <v>235</v>
      </c>
      <c r="D480" s="92" t="s">
        <v>229</v>
      </c>
      <c r="E480" s="92" t="s">
        <v>228</v>
      </c>
      <c r="F480" s="95"/>
    </row>
    <row r="481" spans="1:6" ht="18" customHeight="1" thickBot="1" x14ac:dyDescent="0.3">
      <c r="A481" s="173"/>
      <c r="B481" s="176"/>
      <c r="C481" s="96" t="s">
        <v>227</v>
      </c>
      <c r="D481" s="96" t="s">
        <v>230</v>
      </c>
      <c r="E481" s="96"/>
      <c r="F481" s="97"/>
    </row>
    <row r="482" spans="1:6" ht="18" customHeight="1" x14ac:dyDescent="0.25">
      <c r="A482" s="177" t="s">
        <v>359</v>
      </c>
      <c r="B482" s="180" t="s">
        <v>241</v>
      </c>
      <c r="C482" s="145" t="s">
        <v>229</v>
      </c>
      <c r="D482" s="145"/>
      <c r="E482" s="93" t="s">
        <v>226</v>
      </c>
      <c r="F482" s="94"/>
    </row>
    <row r="483" spans="1:6" ht="18" customHeight="1" x14ac:dyDescent="0.25">
      <c r="A483" s="178"/>
      <c r="B483" s="181"/>
      <c r="C483" s="161" t="s">
        <v>230</v>
      </c>
      <c r="D483" s="161"/>
      <c r="E483" s="92" t="s">
        <v>232</v>
      </c>
      <c r="F483" s="95"/>
    </row>
    <row r="484" spans="1:6" ht="18" customHeight="1" x14ac:dyDescent="0.25">
      <c r="A484" s="178"/>
      <c r="B484" s="181"/>
      <c r="C484" s="92" t="s">
        <v>235</v>
      </c>
      <c r="D484" s="92" t="s">
        <v>226</v>
      </c>
      <c r="E484" s="92" t="s">
        <v>228</v>
      </c>
      <c r="F484" s="95"/>
    </row>
    <row r="485" spans="1:6" ht="18" customHeight="1" thickBot="1" x14ac:dyDescent="0.3">
      <c r="A485" s="179"/>
      <c r="B485" s="182"/>
      <c r="C485" s="96" t="s">
        <v>227</v>
      </c>
      <c r="D485" s="96" t="s">
        <v>232</v>
      </c>
      <c r="E485" s="96"/>
      <c r="F485" s="97"/>
    </row>
    <row r="486" spans="1:6" ht="18" customHeight="1" x14ac:dyDescent="0.25">
      <c r="A486" s="139" t="s">
        <v>360</v>
      </c>
      <c r="B486" s="142" t="s">
        <v>7</v>
      </c>
      <c r="C486" s="145" t="s">
        <v>226</v>
      </c>
      <c r="D486" s="145"/>
      <c r="E486" s="93"/>
      <c r="F486" s="94"/>
    </row>
    <row r="487" spans="1:6" ht="18" customHeight="1" x14ac:dyDescent="0.25">
      <c r="A487" s="140"/>
      <c r="B487" s="143"/>
      <c r="C487" s="161" t="s">
        <v>232</v>
      </c>
      <c r="D487" s="161"/>
      <c r="E487" s="92"/>
      <c r="F487" s="95"/>
    </row>
    <row r="488" spans="1:6" ht="18" customHeight="1" x14ac:dyDescent="0.25">
      <c r="A488" s="140"/>
      <c r="B488" s="143"/>
      <c r="C488" s="161" t="s">
        <v>229</v>
      </c>
      <c r="D488" s="161"/>
      <c r="E488" s="92"/>
      <c r="F488" s="95"/>
    </row>
    <row r="489" spans="1:6" ht="18" customHeight="1" thickBot="1" x14ac:dyDescent="0.3">
      <c r="A489" s="141"/>
      <c r="B489" s="144"/>
      <c r="C489" s="183" t="s">
        <v>228</v>
      </c>
      <c r="D489" s="183"/>
      <c r="E489" s="96"/>
      <c r="F489" s="97"/>
    </row>
    <row r="490" spans="1:6" ht="18" customHeight="1" x14ac:dyDescent="0.25">
      <c r="A490" s="146" t="s">
        <v>361</v>
      </c>
      <c r="B490" s="148" t="s">
        <v>8</v>
      </c>
      <c r="C490" s="145" t="s">
        <v>226</v>
      </c>
      <c r="D490" s="145"/>
      <c r="E490" s="93"/>
      <c r="F490" s="94"/>
    </row>
    <row r="491" spans="1:6" ht="18" customHeight="1" thickBot="1" x14ac:dyDescent="0.3">
      <c r="A491" s="147"/>
      <c r="B491" s="149"/>
      <c r="C491" s="183" t="s">
        <v>232</v>
      </c>
      <c r="D491" s="183"/>
      <c r="E491" s="96"/>
      <c r="F491" s="97"/>
    </row>
    <row r="492" spans="1:6" ht="18" customHeight="1" x14ac:dyDescent="0.25">
      <c r="B492" s="115" t="s">
        <v>242</v>
      </c>
      <c r="C492" s="150" t="s">
        <v>228</v>
      </c>
      <c r="D492" s="150"/>
      <c r="E492" s="150"/>
      <c r="F492" s="150"/>
    </row>
    <row r="495" spans="1:6" ht="18" customHeight="1" thickBot="1" x14ac:dyDescent="0.3">
      <c r="C495" s="113" t="s">
        <v>1</v>
      </c>
      <c r="D495" s="113" t="s">
        <v>2</v>
      </c>
      <c r="E495" s="113" t="s">
        <v>239</v>
      </c>
      <c r="F495" s="113" t="s">
        <v>240</v>
      </c>
    </row>
    <row r="496" spans="1:6" ht="18" customHeight="1" x14ac:dyDescent="0.25">
      <c r="A496" s="151" t="s">
        <v>362</v>
      </c>
      <c r="B496" s="154" t="s">
        <v>243</v>
      </c>
      <c r="C496" s="145" t="s">
        <v>233</v>
      </c>
      <c r="D496" s="145"/>
      <c r="E496" s="93" t="s">
        <v>235</v>
      </c>
      <c r="F496" s="94" t="s">
        <v>230</v>
      </c>
    </row>
    <row r="497" spans="1:6" ht="18" customHeight="1" x14ac:dyDescent="0.25">
      <c r="A497" s="152"/>
      <c r="B497" s="155"/>
      <c r="C497" s="157" t="s">
        <v>230</v>
      </c>
      <c r="D497" s="157"/>
      <c r="E497" s="120"/>
      <c r="F497" s="121"/>
    </row>
    <row r="498" spans="1:6" ht="18" customHeight="1" x14ac:dyDescent="0.25">
      <c r="A498" s="152"/>
      <c r="B498" s="155"/>
      <c r="C498" s="157" t="s">
        <v>213</v>
      </c>
      <c r="D498" s="157"/>
      <c r="E498" s="120"/>
      <c r="F498" s="121"/>
    </row>
    <row r="499" spans="1:6" ht="18" customHeight="1" thickBot="1" x14ac:dyDescent="0.3">
      <c r="A499" s="153"/>
      <c r="B499" s="156"/>
      <c r="C499" s="122" t="s">
        <v>229</v>
      </c>
      <c r="D499" s="122" t="s">
        <v>227</v>
      </c>
      <c r="E499" s="122"/>
      <c r="F499" s="123"/>
    </row>
    <row r="500" spans="1:6" ht="18" customHeight="1" x14ac:dyDescent="0.25">
      <c r="A500" s="168" t="s">
        <v>363</v>
      </c>
      <c r="B500" s="158" t="s">
        <v>244</v>
      </c>
      <c r="C500" s="145" t="s">
        <v>233</v>
      </c>
      <c r="D500" s="145"/>
      <c r="E500" s="93" t="s">
        <v>229</v>
      </c>
      <c r="F500" s="94"/>
    </row>
    <row r="501" spans="1:6" ht="18" customHeight="1" x14ac:dyDescent="0.25">
      <c r="A501" s="169"/>
      <c r="B501" s="159"/>
      <c r="C501" s="161" t="s">
        <v>234</v>
      </c>
      <c r="D501" s="161"/>
      <c r="E501" s="92" t="s">
        <v>235</v>
      </c>
      <c r="F501" s="95"/>
    </row>
    <row r="502" spans="1:6" ht="18" customHeight="1" x14ac:dyDescent="0.25">
      <c r="A502" s="169"/>
      <c r="B502" s="159"/>
      <c r="C502" s="92" t="s">
        <v>229</v>
      </c>
      <c r="D502" s="92" t="s">
        <v>227</v>
      </c>
      <c r="E502" s="92"/>
      <c r="F502" s="95"/>
    </row>
    <row r="503" spans="1:6" ht="18" customHeight="1" thickBot="1" x14ac:dyDescent="0.3">
      <c r="A503" s="170"/>
      <c r="B503" s="160"/>
      <c r="C503" s="96" t="s">
        <v>230</v>
      </c>
      <c r="D503" s="96" t="s">
        <v>213</v>
      </c>
      <c r="E503" s="96"/>
      <c r="F503" s="97"/>
    </row>
    <row r="504" spans="1:6" ht="18" customHeight="1" x14ac:dyDescent="0.25">
      <c r="A504" s="162" t="s">
        <v>364</v>
      </c>
      <c r="B504" s="165" t="s">
        <v>245</v>
      </c>
      <c r="C504" s="145" t="s">
        <v>230</v>
      </c>
      <c r="D504" s="145"/>
      <c r="E504" s="93" t="s">
        <v>231</v>
      </c>
      <c r="F504" s="94"/>
    </row>
    <row r="505" spans="1:6" ht="18" customHeight="1" x14ac:dyDescent="0.25">
      <c r="A505" s="163"/>
      <c r="B505" s="166"/>
      <c r="C505" s="161" t="s">
        <v>227</v>
      </c>
      <c r="D505" s="161"/>
      <c r="E505" s="92" t="s">
        <v>228</v>
      </c>
      <c r="F505" s="95"/>
    </row>
    <row r="506" spans="1:6" ht="18" customHeight="1" x14ac:dyDescent="0.25">
      <c r="A506" s="163"/>
      <c r="B506" s="166"/>
      <c r="C506" s="161" t="s">
        <v>213</v>
      </c>
      <c r="D506" s="161"/>
      <c r="E506" s="92" t="s">
        <v>235</v>
      </c>
      <c r="F506" s="95"/>
    </row>
    <row r="507" spans="1:6" ht="18" customHeight="1" thickBot="1" x14ac:dyDescent="0.3">
      <c r="A507" s="164"/>
      <c r="B507" s="167"/>
      <c r="C507" s="96" t="s">
        <v>229</v>
      </c>
      <c r="D507" s="96" t="s">
        <v>233</v>
      </c>
      <c r="E507" s="96"/>
      <c r="F507" s="97"/>
    </row>
    <row r="508" spans="1:6" ht="18" customHeight="1" x14ac:dyDescent="0.25">
      <c r="A508" s="171" t="s">
        <v>365</v>
      </c>
      <c r="B508" s="174" t="s">
        <v>246</v>
      </c>
      <c r="C508" s="145" t="s">
        <v>227</v>
      </c>
      <c r="D508" s="145"/>
      <c r="E508" s="93" t="s">
        <v>232</v>
      </c>
      <c r="F508" s="94"/>
    </row>
    <row r="509" spans="1:6" ht="18" customHeight="1" x14ac:dyDescent="0.25">
      <c r="A509" s="172"/>
      <c r="B509" s="175"/>
      <c r="C509" s="161" t="s">
        <v>213</v>
      </c>
      <c r="D509" s="161"/>
      <c r="E509" s="92" t="s">
        <v>234</v>
      </c>
      <c r="F509" s="95"/>
    </row>
    <row r="510" spans="1:6" ht="18" customHeight="1" x14ac:dyDescent="0.25">
      <c r="A510" s="172"/>
      <c r="B510" s="175"/>
      <c r="C510" s="92" t="s">
        <v>229</v>
      </c>
      <c r="D510" s="92" t="s">
        <v>232</v>
      </c>
      <c r="E510" s="92" t="s">
        <v>235</v>
      </c>
      <c r="F510" s="95"/>
    </row>
    <row r="511" spans="1:6" ht="18" customHeight="1" thickBot="1" x14ac:dyDescent="0.3">
      <c r="A511" s="173"/>
      <c r="B511" s="176"/>
      <c r="C511" s="96" t="s">
        <v>230</v>
      </c>
      <c r="D511" s="96" t="s">
        <v>234</v>
      </c>
      <c r="E511" s="96"/>
      <c r="F511" s="97"/>
    </row>
    <row r="512" spans="1:6" ht="18" customHeight="1" x14ac:dyDescent="0.25">
      <c r="A512" s="177" t="s">
        <v>366</v>
      </c>
      <c r="B512" s="180" t="s">
        <v>241</v>
      </c>
      <c r="C512" s="145" t="s">
        <v>232</v>
      </c>
      <c r="D512" s="145"/>
      <c r="E512" s="93" t="s">
        <v>233</v>
      </c>
      <c r="F512" s="94"/>
    </row>
    <row r="513" spans="1:6" ht="18" customHeight="1" x14ac:dyDescent="0.25">
      <c r="A513" s="178"/>
      <c r="B513" s="181"/>
      <c r="C513" s="161" t="s">
        <v>234</v>
      </c>
      <c r="D513" s="161"/>
      <c r="E513" s="92" t="s">
        <v>226</v>
      </c>
      <c r="F513" s="95"/>
    </row>
    <row r="514" spans="1:6" ht="18" customHeight="1" x14ac:dyDescent="0.25">
      <c r="A514" s="178"/>
      <c r="B514" s="181"/>
      <c r="C514" s="92" t="s">
        <v>229</v>
      </c>
      <c r="D514" s="92" t="s">
        <v>233</v>
      </c>
      <c r="E514" s="92" t="s">
        <v>235</v>
      </c>
      <c r="F514" s="95"/>
    </row>
    <row r="515" spans="1:6" ht="18" customHeight="1" thickBot="1" x14ac:dyDescent="0.3">
      <c r="A515" s="179"/>
      <c r="B515" s="182"/>
      <c r="C515" s="96" t="s">
        <v>230</v>
      </c>
      <c r="D515" s="96" t="s">
        <v>226</v>
      </c>
      <c r="E515" s="96"/>
      <c r="F515" s="97"/>
    </row>
    <row r="516" spans="1:6" ht="18" customHeight="1" x14ac:dyDescent="0.25">
      <c r="A516" s="139" t="s">
        <v>367</v>
      </c>
      <c r="B516" s="142" t="s">
        <v>7</v>
      </c>
      <c r="C516" s="145" t="s">
        <v>233</v>
      </c>
      <c r="D516" s="145"/>
      <c r="E516" s="93"/>
      <c r="F516" s="94"/>
    </row>
    <row r="517" spans="1:6" ht="18" customHeight="1" x14ac:dyDescent="0.25">
      <c r="A517" s="140"/>
      <c r="B517" s="143"/>
      <c r="C517" s="161" t="s">
        <v>226</v>
      </c>
      <c r="D517" s="161"/>
      <c r="E517" s="92"/>
      <c r="F517" s="95"/>
    </row>
    <row r="518" spans="1:6" ht="18" customHeight="1" x14ac:dyDescent="0.25">
      <c r="A518" s="140"/>
      <c r="B518" s="143"/>
      <c r="C518" s="161" t="s">
        <v>232</v>
      </c>
      <c r="D518" s="161"/>
      <c r="E518" s="92"/>
      <c r="F518" s="95"/>
    </row>
    <row r="519" spans="1:6" ht="18" customHeight="1" thickBot="1" x14ac:dyDescent="0.3">
      <c r="A519" s="141"/>
      <c r="B519" s="144"/>
      <c r="C519" s="183" t="s">
        <v>234</v>
      </c>
      <c r="D519" s="183"/>
      <c r="E519" s="96"/>
      <c r="F519" s="97"/>
    </row>
    <row r="520" spans="1:6" ht="18" customHeight="1" x14ac:dyDescent="0.25">
      <c r="A520" s="146" t="s">
        <v>368</v>
      </c>
      <c r="B520" s="148" t="s">
        <v>8</v>
      </c>
      <c r="C520" s="145" t="s">
        <v>233</v>
      </c>
      <c r="D520" s="145"/>
      <c r="E520" s="93"/>
      <c r="F520" s="94"/>
    </row>
    <row r="521" spans="1:6" ht="18" customHeight="1" thickBot="1" x14ac:dyDescent="0.3">
      <c r="A521" s="147"/>
      <c r="B521" s="149"/>
      <c r="C521" s="183" t="s">
        <v>226</v>
      </c>
      <c r="D521" s="183"/>
      <c r="E521" s="96"/>
      <c r="F521" s="97"/>
    </row>
    <row r="522" spans="1:6" ht="18" customHeight="1" x14ac:dyDescent="0.25">
      <c r="B522" s="115" t="s">
        <v>242</v>
      </c>
      <c r="C522" s="150" t="s">
        <v>235</v>
      </c>
      <c r="D522" s="150"/>
      <c r="E522" s="150"/>
      <c r="F522" s="150"/>
    </row>
    <row r="525" spans="1:6" ht="18" customHeight="1" thickBot="1" x14ac:dyDescent="0.3">
      <c r="C525" s="113" t="s">
        <v>1</v>
      </c>
      <c r="D525" s="113" t="s">
        <v>2</v>
      </c>
      <c r="E525" s="113" t="s">
        <v>239</v>
      </c>
      <c r="F525" s="113" t="s">
        <v>240</v>
      </c>
    </row>
    <row r="526" spans="1:6" ht="18" customHeight="1" x14ac:dyDescent="0.25">
      <c r="A526" s="151" t="s">
        <v>369</v>
      </c>
      <c r="B526" s="154" t="s">
        <v>243</v>
      </c>
      <c r="C526" s="145" t="s">
        <v>232</v>
      </c>
      <c r="D526" s="145"/>
      <c r="E526" s="93" t="s">
        <v>229</v>
      </c>
      <c r="F526" s="94" t="s">
        <v>234</v>
      </c>
    </row>
    <row r="527" spans="1:6" ht="18" customHeight="1" x14ac:dyDescent="0.25">
      <c r="A527" s="152"/>
      <c r="B527" s="155"/>
      <c r="C527" s="157" t="s">
        <v>234</v>
      </c>
      <c r="D527" s="157"/>
      <c r="E527" s="120"/>
      <c r="F527" s="121"/>
    </row>
    <row r="528" spans="1:6" ht="18" customHeight="1" x14ac:dyDescent="0.25">
      <c r="A528" s="152"/>
      <c r="B528" s="155"/>
      <c r="C528" s="157" t="s">
        <v>230</v>
      </c>
      <c r="D528" s="157"/>
      <c r="E528" s="120"/>
      <c r="F528" s="121"/>
    </row>
    <row r="529" spans="1:6" ht="18" customHeight="1" thickBot="1" x14ac:dyDescent="0.3">
      <c r="A529" s="153"/>
      <c r="B529" s="156"/>
      <c r="C529" s="190" t="s">
        <v>227</v>
      </c>
      <c r="D529" s="190"/>
      <c r="E529" s="122"/>
      <c r="F529" s="123"/>
    </row>
    <row r="530" spans="1:6" ht="18" customHeight="1" x14ac:dyDescent="0.25">
      <c r="A530" s="168" t="s">
        <v>370</v>
      </c>
      <c r="B530" s="158" t="s">
        <v>244</v>
      </c>
      <c r="C530" s="145" t="s">
        <v>226</v>
      </c>
      <c r="D530" s="145"/>
      <c r="E530" s="93" t="s">
        <v>232</v>
      </c>
      <c r="F530" s="94"/>
    </row>
    <row r="531" spans="1:6" ht="18" customHeight="1" x14ac:dyDescent="0.25">
      <c r="A531" s="169"/>
      <c r="B531" s="159"/>
      <c r="C531" s="161" t="s">
        <v>230</v>
      </c>
      <c r="D531" s="161"/>
      <c r="E531" s="92" t="s">
        <v>229</v>
      </c>
      <c r="F531" s="95"/>
    </row>
    <row r="532" spans="1:6" ht="18" customHeight="1" x14ac:dyDescent="0.25">
      <c r="A532" s="169"/>
      <c r="B532" s="159"/>
      <c r="C532" s="92" t="s">
        <v>232</v>
      </c>
      <c r="D532" s="92" t="s">
        <v>229</v>
      </c>
      <c r="E532" s="92"/>
      <c r="F532" s="95"/>
    </row>
    <row r="533" spans="1:6" ht="18" customHeight="1" thickBot="1" x14ac:dyDescent="0.3">
      <c r="A533" s="170"/>
      <c r="B533" s="160"/>
      <c r="C533" s="96" t="s">
        <v>234</v>
      </c>
      <c r="D533" s="96" t="s">
        <v>227</v>
      </c>
      <c r="E533" s="96"/>
      <c r="F533" s="97"/>
    </row>
    <row r="534" spans="1:6" ht="18" customHeight="1" x14ac:dyDescent="0.25">
      <c r="A534" s="162" t="s">
        <v>371</v>
      </c>
      <c r="B534" s="165" t="s">
        <v>245</v>
      </c>
      <c r="C534" s="145" t="s">
        <v>232</v>
      </c>
      <c r="D534" s="145"/>
      <c r="E534" s="93" t="s">
        <v>235</v>
      </c>
      <c r="F534" s="94"/>
    </row>
    <row r="535" spans="1:6" ht="18" customHeight="1" x14ac:dyDescent="0.25">
      <c r="A535" s="163"/>
      <c r="B535" s="166"/>
      <c r="C535" s="161" t="s">
        <v>234</v>
      </c>
      <c r="D535" s="161"/>
      <c r="E535" s="92" t="s">
        <v>213</v>
      </c>
      <c r="F535" s="95"/>
    </row>
    <row r="536" spans="1:6" ht="18" customHeight="1" x14ac:dyDescent="0.25">
      <c r="A536" s="163"/>
      <c r="B536" s="166"/>
      <c r="C536" s="161" t="s">
        <v>230</v>
      </c>
      <c r="D536" s="161"/>
      <c r="E536" s="92" t="s">
        <v>229</v>
      </c>
      <c r="F536" s="95"/>
    </row>
    <row r="537" spans="1:6" ht="18" customHeight="1" thickBot="1" x14ac:dyDescent="0.3">
      <c r="A537" s="164"/>
      <c r="B537" s="167"/>
      <c r="C537" s="183" t="s">
        <v>227</v>
      </c>
      <c r="D537" s="183"/>
      <c r="E537" s="96"/>
      <c r="F537" s="97"/>
    </row>
    <row r="538" spans="1:6" ht="18" customHeight="1" x14ac:dyDescent="0.25">
      <c r="A538" s="171" t="s">
        <v>372</v>
      </c>
      <c r="B538" s="174" t="s">
        <v>246</v>
      </c>
      <c r="C538" s="145" t="s">
        <v>230</v>
      </c>
      <c r="D538" s="145"/>
      <c r="E538" s="93" t="s">
        <v>226</v>
      </c>
      <c r="F538" s="94"/>
    </row>
    <row r="539" spans="1:6" ht="18" customHeight="1" x14ac:dyDescent="0.25">
      <c r="A539" s="172"/>
      <c r="B539" s="175"/>
      <c r="C539" s="161" t="s">
        <v>227</v>
      </c>
      <c r="D539" s="161"/>
      <c r="E539" s="92" t="s">
        <v>228</v>
      </c>
      <c r="F539" s="95"/>
    </row>
    <row r="540" spans="1:6" ht="18" customHeight="1" x14ac:dyDescent="0.25">
      <c r="A540" s="172"/>
      <c r="B540" s="175"/>
      <c r="C540" s="92" t="s">
        <v>232</v>
      </c>
      <c r="D540" s="92" t="s">
        <v>226</v>
      </c>
      <c r="E540" s="92" t="s">
        <v>229</v>
      </c>
      <c r="F540" s="95"/>
    </row>
    <row r="541" spans="1:6" ht="18" customHeight="1" thickBot="1" x14ac:dyDescent="0.3">
      <c r="A541" s="173"/>
      <c r="B541" s="176"/>
      <c r="C541" s="96" t="s">
        <v>234</v>
      </c>
      <c r="D541" s="96" t="s">
        <v>228</v>
      </c>
      <c r="E541" s="96"/>
      <c r="F541" s="97"/>
    </row>
    <row r="542" spans="1:6" ht="18" customHeight="1" x14ac:dyDescent="0.25">
      <c r="A542" s="177" t="s">
        <v>373</v>
      </c>
      <c r="B542" s="180" t="s">
        <v>241</v>
      </c>
      <c r="C542" s="145" t="s">
        <v>226</v>
      </c>
      <c r="D542" s="145"/>
      <c r="E542" s="93" t="s">
        <v>231</v>
      </c>
      <c r="F542" s="94"/>
    </row>
    <row r="543" spans="1:6" ht="18" customHeight="1" x14ac:dyDescent="0.25">
      <c r="A543" s="178"/>
      <c r="B543" s="181"/>
      <c r="C543" s="161" t="s">
        <v>228</v>
      </c>
      <c r="D543" s="161"/>
      <c r="E543" s="92" t="s">
        <v>233</v>
      </c>
      <c r="F543" s="95"/>
    </row>
    <row r="544" spans="1:6" ht="18" customHeight="1" x14ac:dyDescent="0.25">
      <c r="A544" s="178"/>
      <c r="B544" s="181"/>
      <c r="C544" s="92" t="s">
        <v>232</v>
      </c>
      <c r="D544" s="92" t="s">
        <v>231</v>
      </c>
      <c r="E544" s="92" t="s">
        <v>229</v>
      </c>
      <c r="F544" s="95"/>
    </row>
    <row r="545" spans="1:6" ht="18" customHeight="1" thickBot="1" x14ac:dyDescent="0.3">
      <c r="A545" s="179"/>
      <c r="B545" s="182"/>
      <c r="C545" s="96" t="s">
        <v>234</v>
      </c>
      <c r="D545" s="96" t="s">
        <v>233</v>
      </c>
      <c r="E545" s="96"/>
      <c r="F545" s="97"/>
    </row>
    <row r="546" spans="1:6" ht="18" customHeight="1" x14ac:dyDescent="0.25">
      <c r="A546" s="139" t="s">
        <v>374</v>
      </c>
      <c r="B546" s="142" t="s">
        <v>7</v>
      </c>
      <c r="C546" s="145" t="s">
        <v>231</v>
      </c>
      <c r="D546" s="145"/>
      <c r="E546" s="93"/>
      <c r="F546" s="94"/>
    </row>
    <row r="547" spans="1:6" ht="18" customHeight="1" x14ac:dyDescent="0.25">
      <c r="A547" s="140"/>
      <c r="B547" s="143"/>
      <c r="C547" s="161" t="s">
        <v>233</v>
      </c>
      <c r="D547" s="161"/>
      <c r="E547" s="92"/>
      <c r="F547" s="95"/>
    </row>
    <row r="548" spans="1:6" ht="18" customHeight="1" x14ac:dyDescent="0.25">
      <c r="A548" s="140"/>
      <c r="B548" s="143"/>
      <c r="C548" s="161" t="s">
        <v>226</v>
      </c>
      <c r="D548" s="161"/>
      <c r="E548" s="92"/>
      <c r="F548" s="95"/>
    </row>
    <row r="549" spans="1:6" ht="18" customHeight="1" thickBot="1" x14ac:dyDescent="0.3">
      <c r="A549" s="141"/>
      <c r="B549" s="144"/>
      <c r="C549" s="183" t="s">
        <v>228</v>
      </c>
      <c r="D549" s="183"/>
      <c r="E549" s="96"/>
      <c r="F549" s="97"/>
    </row>
    <row r="550" spans="1:6" ht="18" customHeight="1" x14ac:dyDescent="0.25">
      <c r="A550" s="146" t="s">
        <v>375</v>
      </c>
      <c r="B550" s="148" t="s">
        <v>8</v>
      </c>
      <c r="C550" s="145" t="s">
        <v>231</v>
      </c>
      <c r="D550" s="145"/>
      <c r="E550" s="93"/>
      <c r="F550" s="94"/>
    </row>
    <row r="551" spans="1:6" ht="18" customHeight="1" thickBot="1" x14ac:dyDescent="0.3">
      <c r="A551" s="147"/>
      <c r="B551" s="149"/>
      <c r="C551" s="183" t="s">
        <v>233</v>
      </c>
      <c r="D551" s="183"/>
      <c r="E551" s="96"/>
      <c r="F551" s="97"/>
    </row>
    <row r="552" spans="1:6" ht="18" customHeight="1" x14ac:dyDescent="0.25">
      <c r="B552" s="115" t="s">
        <v>242</v>
      </c>
      <c r="C552" s="150" t="s">
        <v>229</v>
      </c>
      <c r="D552" s="150"/>
      <c r="E552" s="150"/>
      <c r="F552" s="150"/>
    </row>
    <row r="555" spans="1:6" ht="18" customHeight="1" thickBot="1" x14ac:dyDescent="0.3">
      <c r="C555" s="113" t="s">
        <v>1</v>
      </c>
      <c r="D555" s="113" t="s">
        <v>2</v>
      </c>
      <c r="E555" s="113" t="s">
        <v>239</v>
      </c>
      <c r="F555" s="113" t="s">
        <v>240</v>
      </c>
    </row>
    <row r="556" spans="1:6" ht="18" customHeight="1" x14ac:dyDescent="0.25">
      <c r="A556" s="151" t="s">
        <v>376</v>
      </c>
      <c r="B556" s="154" t="s">
        <v>243</v>
      </c>
      <c r="C556" s="145" t="s">
        <v>229</v>
      </c>
      <c r="D556" s="145"/>
      <c r="E556" s="93" t="s">
        <v>232</v>
      </c>
      <c r="F556" s="94" t="s">
        <v>228</v>
      </c>
    </row>
    <row r="557" spans="1:6" ht="18" customHeight="1" x14ac:dyDescent="0.25">
      <c r="A557" s="152"/>
      <c r="B557" s="155"/>
      <c r="C557" s="157" t="s">
        <v>227</v>
      </c>
      <c r="D557" s="157"/>
      <c r="E557" s="120"/>
      <c r="F557" s="121"/>
    </row>
    <row r="558" spans="1:6" ht="18" customHeight="1" x14ac:dyDescent="0.25">
      <c r="A558" s="152"/>
      <c r="B558" s="155"/>
      <c r="C558" s="120" t="s">
        <v>226</v>
      </c>
      <c r="D558" s="120" t="s">
        <v>234</v>
      </c>
      <c r="E558" s="120"/>
      <c r="F558" s="121"/>
    </row>
    <row r="559" spans="1:6" ht="18" customHeight="1" thickBot="1" x14ac:dyDescent="0.3">
      <c r="A559" s="153"/>
      <c r="B559" s="156"/>
      <c r="C559" s="122" t="s">
        <v>228</v>
      </c>
      <c r="D559" s="122" t="s">
        <v>230</v>
      </c>
      <c r="E559" s="122"/>
      <c r="F559" s="123"/>
    </row>
    <row r="560" spans="1:6" ht="18" customHeight="1" x14ac:dyDescent="0.25">
      <c r="A560" s="168" t="s">
        <v>377</v>
      </c>
      <c r="B560" s="158" t="s">
        <v>244</v>
      </c>
      <c r="C560" s="145" t="s">
        <v>226</v>
      </c>
      <c r="D560" s="145"/>
      <c r="E560" s="93" t="s">
        <v>226</v>
      </c>
      <c r="F560" s="94"/>
    </row>
    <row r="561" spans="1:6" ht="18" customHeight="1" x14ac:dyDescent="0.25">
      <c r="A561" s="169"/>
      <c r="B561" s="159"/>
      <c r="C561" s="161" t="s">
        <v>229</v>
      </c>
      <c r="D561" s="161"/>
      <c r="E561" s="92" t="s">
        <v>232</v>
      </c>
      <c r="F561" s="95"/>
    </row>
    <row r="562" spans="1:6" ht="18" customHeight="1" x14ac:dyDescent="0.25">
      <c r="A562" s="169"/>
      <c r="B562" s="159"/>
      <c r="C562" s="161" t="s">
        <v>234</v>
      </c>
      <c r="D562" s="161"/>
      <c r="E562" s="92"/>
      <c r="F562" s="95"/>
    </row>
    <row r="563" spans="1:6" ht="18" customHeight="1" thickBot="1" x14ac:dyDescent="0.3">
      <c r="A563" s="170"/>
      <c r="B563" s="160"/>
      <c r="C563" s="96" t="s">
        <v>228</v>
      </c>
      <c r="D563" s="96" t="s">
        <v>230</v>
      </c>
      <c r="E563" s="96"/>
      <c r="F563" s="97"/>
    </row>
    <row r="564" spans="1:6" ht="18" customHeight="1" x14ac:dyDescent="0.25">
      <c r="A564" s="162" t="s">
        <v>378</v>
      </c>
      <c r="B564" s="165" t="s">
        <v>245</v>
      </c>
      <c r="C564" s="145" t="s">
        <v>228</v>
      </c>
      <c r="D564" s="145"/>
      <c r="E564" s="93" t="s">
        <v>229</v>
      </c>
      <c r="F564" s="94"/>
    </row>
    <row r="565" spans="1:6" ht="18" customHeight="1" x14ac:dyDescent="0.25">
      <c r="A565" s="163"/>
      <c r="B565" s="166"/>
      <c r="C565" s="161" t="s">
        <v>234</v>
      </c>
      <c r="D565" s="161"/>
      <c r="E565" s="92" t="s">
        <v>227</v>
      </c>
      <c r="F565" s="95"/>
    </row>
    <row r="566" spans="1:6" ht="18" customHeight="1" x14ac:dyDescent="0.25">
      <c r="A566" s="163"/>
      <c r="B566" s="166"/>
      <c r="C566" s="161" t="s">
        <v>230</v>
      </c>
      <c r="D566" s="161"/>
      <c r="E566" s="92" t="s">
        <v>232</v>
      </c>
      <c r="F566" s="95"/>
    </row>
    <row r="567" spans="1:6" ht="18" customHeight="1" thickBot="1" x14ac:dyDescent="0.3">
      <c r="A567" s="164"/>
      <c r="B567" s="167"/>
      <c r="C567" s="96" t="s">
        <v>226</v>
      </c>
      <c r="D567" s="96" t="s">
        <v>229</v>
      </c>
      <c r="E567" s="96"/>
      <c r="F567" s="97"/>
    </row>
    <row r="568" spans="1:6" ht="18" customHeight="1" x14ac:dyDescent="0.25">
      <c r="A568" s="171" t="s">
        <v>379</v>
      </c>
      <c r="B568" s="174" t="s">
        <v>246</v>
      </c>
      <c r="C568" s="145" t="s">
        <v>234</v>
      </c>
      <c r="D568" s="145"/>
      <c r="E568" s="93" t="s">
        <v>233</v>
      </c>
      <c r="F568" s="94"/>
    </row>
    <row r="569" spans="1:6" ht="18" customHeight="1" x14ac:dyDescent="0.25">
      <c r="A569" s="172"/>
      <c r="B569" s="175"/>
      <c r="C569" s="161" t="s">
        <v>230</v>
      </c>
      <c r="D569" s="161"/>
      <c r="E569" s="92" t="s">
        <v>235</v>
      </c>
      <c r="F569" s="95"/>
    </row>
    <row r="570" spans="1:6" ht="18" customHeight="1" x14ac:dyDescent="0.25">
      <c r="A570" s="172"/>
      <c r="B570" s="175"/>
      <c r="C570" s="92" t="s">
        <v>226</v>
      </c>
      <c r="D570" s="92" t="s">
        <v>233</v>
      </c>
      <c r="E570" s="92" t="s">
        <v>232</v>
      </c>
      <c r="F570" s="95"/>
    </row>
    <row r="571" spans="1:6" ht="18" customHeight="1" thickBot="1" x14ac:dyDescent="0.3">
      <c r="A571" s="173"/>
      <c r="B571" s="176"/>
      <c r="C571" s="96" t="s">
        <v>228</v>
      </c>
      <c r="D571" s="96" t="s">
        <v>235</v>
      </c>
      <c r="E571" s="96"/>
      <c r="F571" s="97"/>
    </row>
    <row r="572" spans="1:6" ht="18" customHeight="1" x14ac:dyDescent="0.25">
      <c r="A572" s="177" t="s">
        <v>380</v>
      </c>
      <c r="B572" s="180" t="s">
        <v>241</v>
      </c>
      <c r="C572" s="145" t="s">
        <v>233</v>
      </c>
      <c r="D572" s="145"/>
      <c r="E572" s="93" t="s">
        <v>231</v>
      </c>
      <c r="F572" s="94"/>
    </row>
    <row r="573" spans="1:6" ht="18" customHeight="1" x14ac:dyDescent="0.25">
      <c r="A573" s="178"/>
      <c r="B573" s="181"/>
      <c r="C573" s="161" t="s">
        <v>235</v>
      </c>
      <c r="D573" s="161"/>
      <c r="E573" s="92" t="s">
        <v>213</v>
      </c>
      <c r="F573" s="95"/>
    </row>
    <row r="574" spans="1:6" ht="18" customHeight="1" x14ac:dyDescent="0.25">
      <c r="A574" s="178"/>
      <c r="B574" s="181"/>
      <c r="C574" s="92" t="s">
        <v>226</v>
      </c>
      <c r="D574" s="92" t="s">
        <v>231</v>
      </c>
      <c r="E574" s="92" t="s">
        <v>232</v>
      </c>
      <c r="F574" s="95"/>
    </row>
    <row r="575" spans="1:6" ht="18" customHeight="1" thickBot="1" x14ac:dyDescent="0.3">
      <c r="A575" s="179"/>
      <c r="B575" s="182"/>
      <c r="C575" s="96" t="s">
        <v>228</v>
      </c>
      <c r="D575" s="96" t="s">
        <v>229</v>
      </c>
      <c r="E575" s="96"/>
      <c r="F575" s="97"/>
    </row>
    <row r="576" spans="1:6" ht="18" customHeight="1" x14ac:dyDescent="0.25">
      <c r="A576" s="139" t="s">
        <v>381</v>
      </c>
      <c r="B576" s="142" t="s">
        <v>7</v>
      </c>
      <c r="C576" s="145" t="s">
        <v>231</v>
      </c>
      <c r="D576" s="145"/>
      <c r="E576" s="93"/>
      <c r="F576" s="94"/>
    </row>
    <row r="577" spans="1:6" ht="18" customHeight="1" x14ac:dyDescent="0.25">
      <c r="A577" s="140"/>
      <c r="B577" s="143"/>
      <c r="C577" s="161" t="s">
        <v>233</v>
      </c>
      <c r="D577" s="161"/>
      <c r="E577" s="92"/>
      <c r="F577" s="95"/>
    </row>
    <row r="578" spans="1:6" ht="18" customHeight="1" x14ac:dyDescent="0.25">
      <c r="A578" s="140"/>
      <c r="B578" s="143"/>
      <c r="C578" s="161" t="s">
        <v>235</v>
      </c>
      <c r="D578" s="161"/>
      <c r="E578" s="92"/>
      <c r="F578" s="95"/>
    </row>
    <row r="579" spans="1:6" ht="18" customHeight="1" thickBot="1" x14ac:dyDescent="0.3">
      <c r="A579" s="141"/>
      <c r="B579" s="144"/>
      <c r="C579" s="96" t="s">
        <v>234</v>
      </c>
      <c r="D579" s="96" t="s">
        <v>226</v>
      </c>
      <c r="E579" s="96"/>
      <c r="F579" s="97"/>
    </row>
    <row r="580" spans="1:6" ht="18" customHeight="1" x14ac:dyDescent="0.25">
      <c r="A580" s="146" t="s">
        <v>382</v>
      </c>
      <c r="B580" s="148" t="s">
        <v>8</v>
      </c>
      <c r="C580" s="145" t="s">
        <v>231</v>
      </c>
      <c r="D580" s="145"/>
      <c r="E580" s="93"/>
      <c r="F580" s="94"/>
    </row>
    <row r="581" spans="1:6" ht="18" customHeight="1" thickBot="1" x14ac:dyDescent="0.3">
      <c r="A581" s="147"/>
      <c r="B581" s="149"/>
      <c r="C581" s="183" t="s">
        <v>230</v>
      </c>
      <c r="D581" s="183"/>
      <c r="E581" s="96"/>
      <c r="F581" s="97"/>
    </row>
    <row r="582" spans="1:6" ht="18" customHeight="1" x14ac:dyDescent="0.25">
      <c r="B582" s="115" t="s">
        <v>242</v>
      </c>
      <c r="C582" s="150" t="s">
        <v>232</v>
      </c>
      <c r="D582" s="150"/>
      <c r="E582" s="150"/>
      <c r="F582" s="150"/>
    </row>
    <row r="585" spans="1:6" ht="18" customHeight="1" thickBot="1" x14ac:dyDescent="0.3">
      <c r="C585" s="113" t="s">
        <v>1</v>
      </c>
      <c r="D585" s="113" t="s">
        <v>2</v>
      </c>
      <c r="E585" s="113" t="s">
        <v>239</v>
      </c>
      <c r="F585" s="113" t="s">
        <v>240</v>
      </c>
    </row>
    <row r="586" spans="1:6" ht="18" customHeight="1" x14ac:dyDescent="0.25">
      <c r="A586" s="151" t="s">
        <v>383</v>
      </c>
      <c r="B586" s="154" t="s">
        <v>243</v>
      </c>
      <c r="C586" s="145" t="s">
        <v>229</v>
      </c>
      <c r="D586" s="145"/>
      <c r="E586" s="93" t="s">
        <v>226</v>
      </c>
      <c r="F586" s="94" t="s">
        <v>235</v>
      </c>
    </row>
    <row r="587" spans="1:6" ht="18" customHeight="1" x14ac:dyDescent="0.25">
      <c r="A587" s="152"/>
      <c r="B587" s="155"/>
      <c r="C587" s="157" t="s">
        <v>230</v>
      </c>
      <c r="D587" s="157"/>
      <c r="E587" s="120"/>
      <c r="F587" s="121"/>
    </row>
    <row r="588" spans="1:6" ht="18" customHeight="1" x14ac:dyDescent="0.25">
      <c r="A588" s="152"/>
      <c r="B588" s="155"/>
      <c r="C588" s="120" t="s">
        <v>233</v>
      </c>
      <c r="D588" s="120" t="s">
        <v>228</v>
      </c>
      <c r="E588" s="120"/>
      <c r="F588" s="121"/>
    </row>
    <row r="589" spans="1:6" ht="18" customHeight="1" thickBot="1" x14ac:dyDescent="0.3">
      <c r="A589" s="153"/>
      <c r="B589" s="156"/>
      <c r="C589" s="122" t="s">
        <v>235</v>
      </c>
      <c r="D589" s="122" t="s">
        <v>234</v>
      </c>
      <c r="E589" s="122"/>
      <c r="F589" s="123"/>
    </row>
    <row r="590" spans="1:6" ht="18" customHeight="1" x14ac:dyDescent="0.25">
      <c r="A590" s="168" t="s">
        <v>384</v>
      </c>
      <c r="B590" s="158" t="s">
        <v>244</v>
      </c>
      <c r="C590" s="145" t="s">
        <v>229</v>
      </c>
      <c r="D590" s="145"/>
      <c r="E590" s="93" t="s">
        <v>233</v>
      </c>
      <c r="F590" s="94"/>
    </row>
    <row r="591" spans="1:6" ht="18" customHeight="1" x14ac:dyDescent="0.25">
      <c r="A591" s="169"/>
      <c r="B591" s="159"/>
      <c r="C591" s="161" t="s">
        <v>230</v>
      </c>
      <c r="D591" s="161"/>
      <c r="E591" s="92" t="s">
        <v>226</v>
      </c>
      <c r="F591" s="95"/>
    </row>
    <row r="592" spans="1:6" ht="18" customHeight="1" x14ac:dyDescent="0.25">
      <c r="A592" s="169"/>
      <c r="B592" s="159"/>
      <c r="C592" s="92" t="s">
        <v>233</v>
      </c>
      <c r="D592" s="92" t="s">
        <v>228</v>
      </c>
      <c r="E592" s="92"/>
      <c r="F592" s="95"/>
    </row>
    <row r="593" spans="1:6" ht="18" customHeight="1" thickBot="1" x14ac:dyDescent="0.3">
      <c r="A593" s="170"/>
      <c r="B593" s="160"/>
      <c r="C593" s="96" t="s">
        <v>235</v>
      </c>
      <c r="D593" s="96" t="s">
        <v>234</v>
      </c>
      <c r="E593" s="96"/>
      <c r="F593" s="97"/>
    </row>
    <row r="594" spans="1:6" ht="18" customHeight="1" x14ac:dyDescent="0.25">
      <c r="A594" s="162" t="s">
        <v>385</v>
      </c>
      <c r="B594" s="165" t="s">
        <v>245</v>
      </c>
      <c r="C594" s="145" t="s">
        <v>228</v>
      </c>
      <c r="D594" s="145"/>
      <c r="E594" s="93" t="s">
        <v>232</v>
      </c>
      <c r="F594" s="94"/>
    </row>
    <row r="595" spans="1:6" ht="18" customHeight="1" x14ac:dyDescent="0.25">
      <c r="A595" s="163"/>
      <c r="B595" s="166"/>
      <c r="C595" s="161" t="s">
        <v>234</v>
      </c>
      <c r="D595" s="161"/>
      <c r="E595" s="92" t="s">
        <v>230</v>
      </c>
      <c r="F595" s="95"/>
    </row>
    <row r="596" spans="1:6" ht="18" customHeight="1" x14ac:dyDescent="0.25">
      <c r="A596" s="163"/>
      <c r="B596" s="166"/>
      <c r="C596" s="92" t="s">
        <v>233</v>
      </c>
      <c r="D596" s="92" t="s">
        <v>232</v>
      </c>
      <c r="E596" s="92" t="s">
        <v>226</v>
      </c>
      <c r="F596" s="95"/>
    </row>
    <row r="597" spans="1:6" ht="18" customHeight="1" thickBot="1" x14ac:dyDescent="0.3">
      <c r="A597" s="164"/>
      <c r="B597" s="167"/>
      <c r="C597" s="96" t="s">
        <v>235</v>
      </c>
      <c r="D597" s="96" t="s">
        <v>230</v>
      </c>
      <c r="E597" s="96"/>
      <c r="F597" s="97"/>
    </row>
    <row r="598" spans="1:6" ht="18" customHeight="1" x14ac:dyDescent="0.25">
      <c r="A598" s="171" t="s">
        <v>386</v>
      </c>
      <c r="B598" s="174" t="s">
        <v>246</v>
      </c>
      <c r="C598" s="145" t="s">
        <v>228</v>
      </c>
      <c r="D598" s="145"/>
      <c r="E598" s="93" t="s">
        <v>231</v>
      </c>
      <c r="F598" s="94"/>
    </row>
    <row r="599" spans="1:6" ht="18" customHeight="1" x14ac:dyDescent="0.25">
      <c r="A599" s="172"/>
      <c r="B599" s="175"/>
      <c r="C599" s="161" t="s">
        <v>234</v>
      </c>
      <c r="D599" s="161"/>
      <c r="E599" s="92" t="s">
        <v>229</v>
      </c>
      <c r="F599" s="95"/>
    </row>
    <row r="600" spans="1:6" ht="18" customHeight="1" x14ac:dyDescent="0.25">
      <c r="A600" s="172"/>
      <c r="B600" s="175"/>
      <c r="C600" s="92" t="s">
        <v>233</v>
      </c>
      <c r="D600" s="92" t="s">
        <v>231</v>
      </c>
      <c r="E600" s="92" t="s">
        <v>226</v>
      </c>
      <c r="F600" s="95"/>
    </row>
    <row r="601" spans="1:6" ht="18" customHeight="1" thickBot="1" x14ac:dyDescent="0.3">
      <c r="A601" s="173"/>
      <c r="B601" s="176"/>
      <c r="C601" s="96" t="s">
        <v>235</v>
      </c>
      <c r="D601" s="96" t="s">
        <v>229</v>
      </c>
      <c r="E601" s="96"/>
      <c r="F601" s="97"/>
    </row>
    <row r="602" spans="1:6" ht="18" customHeight="1" x14ac:dyDescent="0.25">
      <c r="A602" s="177" t="s">
        <v>387</v>
      </c>
      <c r="B602" s="180" t="s">
        <v>241</v>
      </c>
      <c r="C602" s="145" t="s">
        <v>231</v>
      </c>
      <c r="D602" s="145"/>
      <c r="E602" s="93" t="s">
        <v>227</v>
      </c>
      <c r="F602" s="94"/>
    </row>
    <row r="603" spans="1:6" ht="18" customHeight="1" x14ac:dyDescent="0.25">
      <c r="A603" s="178"/>
      <c r="B603" s="181"/>
      <c r="C603" s="161" t="s">
        <v>233</v>
      </c>
      <c r="D603" s="161"/>
      <c r="E603" s="92" t="s">
        <v>213</v>
      </c>
      <c r="F603" s="95"/>
    </row>
    <row r="604" spans="1:6" ht="18" customHeight="1" x14ac:dyDescent="0.25">
      <c r="A604" s="178"/>
      <c r="B604" s="181"/>
      <c r="C604" s="161" t="s">
        <v>232</v>
      </c>
      <c r="D604" s="161"/>
      <c r="E604" s="92" t="s">
        <v>226</v>
      </c>
      <c r="F604" s="95"/>
    </row>
    <row r="605" spans="1:6" ht="18" customHeight="1" thickBot="1" x14ac:dyDescent="0.3">
      <c r="A605" s="179"/>
      <c r="B605" s="182"/>
      <c r="C605" s="96" t="s">
        <v>235</v>
      </c>
      <c r="D605" s="96" t="s">
        <v>213</v>
      </c>
      <c r="E605" s="96"/>
      <c r="F605" s="97"/>
    </row>
    <row r="606" spans="1:6" ht="18" customHeight="1" x14ac:dyDescent="0.25">
      <c r="A606" s="139" t="s">
        <v>388</v>
      </c>
      <c r="B606" s="142" t="s">
        <v>7</v>
      </c>
      <c r="C606" s="145" t="s">
        <v>231</v>
      </c>
      <c r="D606" s="145"/>
      <c r="E606" s="93"/>
      <c r="F606" s="94"/>
    </row>
    <row r="607" spans="1:6" ht="18" customHeight="1" x14ac:dyDescent="0.25">
      <c r="A607" s="140"/>
      <c r="B607" s="143"/>
      <c r="C607" s="161" t="s">
        <v>232</v>
      </c>
      <c r="D607" s="161"/>
      <c r="E607" s="92"/>
      <c r="F607" s="95"/>
    </row>
    <row r="608" spans="1:6" ht="18" customHeight="1" x14ac:dyDescent="0.25">
      <c r="A608" s="140"/>
      <c r="B608" s="143"/>
      <c r="C608" s="161" t="s">
        <v>228</v>
      </c>
      <c r="D608" s="161"/>
      <c r="E608" s="92"/>
      <c r="F608" s="95"/>
    </row>
    <row r="609" spans="1:6" ht="18" customHeight="1" thickBot="1" x14ac:dyDescent="0.3">
      <c r="A609" s="141"/>
      <c r="B609" s="144"/>
      <c r="C609" s="183" t="s">
        <v>213</v>
      </c>
      <c r="D609" s="183"/>
      <c r="E609" s="96"/>
      <c r="F609" s="97"/>
    </row>
    <row r="610" spans="1:6" ht="18" customHeight="1" x14ac:dyDescent="0.25">
      <c r="A610" s="146" t="s">
        <v>389</v>
      </c>
      <c r="B610" s="148" t="s">
        <v>8</v>
      </c>
      <c r="C610" s="145" t="s">
        <v>234</v>
      </c>
      <c r="D610" s="145"/>
      <c r="E610" s="93"/>
      <c r="F610" s="94"/>
    </row>
    <row r="611" spans="1:6" ht="18" customHeight="1" thickBot="1" x14ac:dyDescent="0.3">
      <c r="A611" s="147"/>
      <c r="B611" s="149"/>
      <c r="C611" s="183" t="s">
        <v>213</v>
      </c>
      <c r="D611" s="183"/>
      <c r="E611" s="96"/>
      <c r="F611" s="97"/>
    </row>
    <row r="612" spans="1:6" ht="18" customHeight="1" x14ac:dyDescent="0.25">
      <c r="B612" s="115" t="s">
        <v>242</v>
      </c>
      <c r="C612" s="150" t="s">
        <v>226</v>
      </c>
      <c r="D612" s="150"/>
      <c r="E612" s="150"/>
      <c r="F612" s="150"/>
    </row>
    <row r="615" spans="1:6" ht="18" customHeight="1" thickBot="1" x14ac:dyDescent="0.3">
      <c r="C615" s="113" t="s">
        <v>1</v>
      </c>
      <c r="D615" s="113" t="s">
        <v>2</v>
      </c>
      <c r="E615" s="113" t="s">
        <v>239</v>
      </c>
      <c r="F615" s="113" t="s">
        <v>240</v>
      </c>
    </row>
    <row r="616" spans="1:6" ht="18" customHeight="1" x14ac:dyDescent="0.25">
      <c r="A616" s="151" t="s">
        <v>390</v>
      </c>
      <c r="B616" s="154" t="s">
        <v>243</v>
      </c>
      <c r="C616" s="145" t="s">
        <v>226</v>
      </c>
      <c r="D616" s="145"/>
      <c r="E616" s="93" t="s">
        <v>233</v>
      </c>
      <c r="F616" s="94" t="s">
        <v>229</v>
      </c>
    </row>
    <row r="617" spans="1:6" ht="18" customHeight="1" x14ac:dyDescent="0.25">
      <c r="A617" s="152"/>
      <c r="B617" s="155"/>
      <c r="C617" s="157" t="s">
        <v>234</v>
      </c>
      <c r="D617" s="157"/>
      <c r="E617" s="120"/>
      <c r="F617" s="121"/>
    </row>
    <row r="618" spans="1:6" ht="18" customHeight="1" x14ac:dyDescent="0.25">
      <c r="A618" s="152"/>
      <c r="B618" s="155"/>
      <c r="C618" s="120" t="s">
        <v>231</v>
      </c>
      <c r="D618" s="120" t="s">
        <v>235</v>
      </c>
      <c r="E618" s="120"/>
      <c r="F618" s="121"/>
    </row>
    <row r="619" spans="1:6" ht="18" customHeight="1" thickBot="1" x14ac:dyDescent="0.3">
      <c r="A619" s="153"/>
      <c r="B619" s="156"/>
      <c r="C619" s="122" t="s">
        <v>229</v>
      </c>
      <c r="D619" s="122" t="s">
        <v>228</v>
      </c>
      <c r="E619" s="122"/>
      <c r="F619" s="123"/>
    </row>
    <row r="620" spans="1:6" ht="18" customHeight="1" x14ac:dyDescent="0.25">
      <c r="A620" s="168" t="s">
        <v>391</v>
      </c>
      <c r="B620" s="158" t="s">
        <v>244</v>
      </c>
      <c r="C620" s="145" t="s">
        <v>226</v>
      </c>
      <c r="D620" s="145"/>
      <c r="E620" s="93" t="s">
        <v>231</v>
      </c>
      <c r="F620" s="94"/>
    </row>
    <row r="621" spans="1:6" ht="18" customHeight="1" x14ac:dyDescent="0.25">
      <c r="A621" s="169"/>
      <c r="B621" s="159"/>
      <c r="C621" s="161" t="s">
        <v>234</v>
      </c>
      <c r="D621" s="161"/>
      <c r="E621" s="92" t="s">
        <v>233</v>
      </c>
      <c r="F621" s="95"/>
    </row>
    <row r="622" spans="1:6" ht="18" customHeight="1" x14ac:dyDescent="0.25">
      <c r="A622" s="169"/>
      <c r="B622" s="159"/>
      <c r="C622" s="92" t="s">
        <v>231</v>
      </c>
      <c r="D622" s="92" t="s">
        <v>235</v>
      </c>
      <c r="E622" s="92"/>
      <c r="F622" s="95"/>
    </row>
    <row r="623" spans="1:6" ht="18" customHeight="1" thickBot="1" x14ac:dyDescent="0.3">
      <c r="A623" s="170"/>
      <c r="B623" s="160"/>
      <c r="C623" s="96" t="s">
        <v>229</v>
      </c>
      <c r="D623" s="96" t="s">
        <v>228</v>
      </c>
      <c r="E623" s="96"/>
      <c r="F623" s="97"/>
    </row>
    <row r="624" spans="1:6" ht="18" customHeight="1" x14ac:dyDescent="0.25">
      <c r="A624" s="162" t="s">
        <v>392</v>
      </c>
      <c r="B624" s="165" t="s">
        <v>245</v>
      </c>
      <c r="C624" s="145" t="s">
        <v>235</v>
      </c>
      <c r="D624" s="145"/>
      <c r="E624" s="93" t="s">
        <v>226</v>
      </c>
      <c r="F624" s="94"/>
    </row>
    <row r="625" spans="1:6" ht="18" customHeight="1" x14ac:dyDescent="0.25">
      <c r="A625" s="163"/>
      <c r="B625" s="166"/>
      <c r="C625" s="161" t="s">
        <v>228</v>
      </c>
      <c r="D625" s="161"/>
      <c r="E625" s="92" t="s">
        <v>234</v>
      </c>
      <c r="F625" s="95"/>
    </row>
    <row r="626" spans="1:6" ht="18" customHeight="1" x14ac:dyDescent="0.25">
      <c r="A626" s="163"/>
      <c r="B626" s="166"/>
      <c r="C626" s="92" t="s">
        <v>231</v>
      </c>
      <c r="D626" s="92" t="s">
        <v>226</v>
      </c>
      <c r="E626" s="92" t="s">
        <v>233</v>
      </c>
      <c r="F626" s="95"/>
    </row>
    <row r="627" spans="1:6" ht="18" customHeight="1" thickBot="1" x14ac:dyDescent="0.3">
      <c r="A627" s="164"/>
      <c r="B627" s="167"/>
      <c r="C627" s="96" t="s">
        <v>229</v>
      </c>
      <c r="D627" s="96" t="s">
        <v>234</v>
      </c>
      <c r="E627" s="96"/>
      <c r="F627" s="97"/>
    </row>
    <row r="628" spans="1:6" ht="18" customHeight="1" x14ac:dyDescent="0.25">
      <c r="A628" s="171" t="s">
        <v>393</v>
      </c>
      <c r="B628" s="174" t="s">
        <v>246</v>
      </c>
      <c r="C628" s="145" t="s">
        <v>235</v>
      </c>
      <c r="D628" s="145"/>
      <c r="E628" s="93" t="s">
        <v>232</v>
      </c>
      <c r="F628" s="94"/>
    </row>
    <row r="629" spans="1:6" ht="18" customHeight="1" x14ac:dyDescent="0.25">
      <c r="A629" s="172"/>
      <c r="B629" s="175"/>
      <c r="C629" s="161" t="s">
        <v>228</v>
      </c>
      <c r="D629" s="161"/>
      <c r="E629" s="92" t="s">
        <v>213</v>
      </c>
      <c r="F629" s="95"/>
    </row>
    <row r="630" spans="1:6" ht="18" customHeight="1" x14ac:dyDescent="0.25">
      <c r="A630" s="172"/>
      <c r="B630" s="175"/>
      <c r="C630" s="92" t="s">
        <v>231</v>
      </c>
      <c r="D630" s="92" t="s">
        <v>232</v>
      </c>
      <c r="E630" s="92" t="s">
        <v>233</v>
      </c>
      <c r="F630" s="95"/>
    </row>
    <row r="631" spans="1:6" ht="18" customHeight="1" thickBot="1" x14ac:dyDescent="0.3">
      <c r="A631" s="173"/>
      <c r="B631" s="176"/>
      <c r="C631" s="96" t="s">
        <v>229</v>
      </c>
      <c r="D631" s="96" t="s">
        <v>213</v>
      </c>
      <c r="E631" s="96"/>
      <c r="F631" s="97"/>
    </row>
    <row r="632" spans="1:6" ht="18" customHeight="1" x14ac:dyDescent="0.25">
      <c r="A632" s="177" t="s">
        <v>394</v>
      </c>
      <c r="B632" s="180" t="s">
        <v>241</v>
      </c>
      <c r="C632" s="145" t="s">
        <v>232</v>
      </c>
      <c r="D632" s="145"/>
      <c r="E632" s="93" t="s">
        <v>230</v>
      </c>
      <c r="F632" s="94"/>
    </row>
    <row r="633" spans="1:6" ht="18" customHeight="1" x14ac:dyDescent="0.25">
      <c r="A633" s="178"/>
      <c r="B633" s="181"/>
      <c r="C633" s="161" t="s">
        <v>213</v>
      </c>
      <c r="D633" s="161"/>
      <c r="E633" s="92" t="s">
        <v>227</v>
      </c>
      <c r="F633" s="95"/>
    </row>
    <row r="634" spans="1:6" ht="18" customHeight="1" x14ac:dyDescent="0.25">
      <c r="A634" s="178"/>
      <c r="B634" s="181"/>
      <c r="C634" s="92" t="s">
        <v>231</v>
      </c>
      <c r="D634" s="92" t="s">
        <v>230</v>
      </c>
      <c r="E634" s="92" t="s">
        <v>233</v>
      </c>
      <c r="F634" s="95"/>
    </row>
    <row r="635" spans="1:6" ht="18" customHeight="1" thickBot="1" x14ac:dyDescent="0.3">
      <c r="A635" s="179"/>
      <c r="B635" s="182"/>
      <c r="C635" s="96" t="s">
        <v>229</v>
      </c>
      <c r="D635" s="96" t="s">
        <v>227</v>
      </c>
      <c r="E635" s="96"/>
      <c r="F635" s="97"/>
    </row>
    <row r="636" spans="1:6" ht="18" customHeight="1" x14ac:dyDescent="0.25">
      <c r="A636" s="139" t="s">
        <v>395</v>
      </c>
      <c r="B636" s="142" t="s">
        <v>7</v>
      </c>
      <c r="C636" s="145" t="s">
        <v>232</v>
      </c>
      <c r="D636" s="145"/>
      <c r="E636" s="93"/>
      <c r="F636" s="94"/>
    </row>
    <row r="637" spans="1:6" ht="18" customHeight="1" x14ac:dyDescent="0.25">
      <c r="A637" s="140"/>
      <c r="B637" s="143"/>
      <c r="C637" s="161" t="s">
        <v>230</v>
      </c>
      <c r="D637" s="161"/>
      <c r="E637" s="92"/>
      <c r="F637" s="95"/>
    </row>
    <row r="638" spans="1:6" ht="18" customHeight="1" x14ac:dyDescent="0.25">
      <c r="A638" s="140"/>
      <c r="B638" s="143"/>
      <c r="C638" s="161" t="s">
        <v>227</v>
      </c>
      <c r="D638" s="161"/>
      <c r="E638" s="92"/>
      <c r="F638" s="95"/>
    </row>
    <row r="639" spans="1:6" ht="18" customHeight="1" thickBot="1" x14ac:dyDescent="0.3">
      <c r="A639" s="141"/>
      <c r="B639" s="144"/>
      <c r="C639" s="183" t="s">
        <v>213</v>
      </c>
      <c r="D639" s="183"/>
      <c r="E639" s="96"/>
      <c r="F639" s="97"/>
    </row>
    <row r="640" spans="1:6" ht="18" customHeight="1" x14ac:dyDescent="0.25">
      <c r="A640" s="146" t="s">
        <v>396</v>
      </c>
      <c r="B640" s="148" t="s">
        <v>8</v>
      </c>
      <c r="C640" s="145" t="s">
        <v>230</v>
      </c>
      <c r="D640" s="145"/>
      <c r="E640" s="93"/>
      <c r="F640" s="94"/>
    </row>
    <row r="641" spans="1:6" ht="18" customHeight="1" thickBot="1" x14ac:dyDescent="0.3">
      <c r="A641" s="147"/>
      <c r="B641" s="149"/>
      <c r="C641" s="183" t="s">
        <v>227</v>
      </c>
      <c r="D641" s="183"/>
      <c r="E641" s="96"/>
      <c r="F641" s="97"/>
    </row>
    <row r="642" spans="1:6" ht="18" customHeight="1" x14ac:dyDescent="0.25">
      <c r="B642" s="115" t="s">
        <v>242</v>
      </c>
      <c r="C642" s="150" t="s">
        <v>233</v>
      </c>
      <c r="D642" s="150"/>
      <c r="E642" s="150"/>
      <c r="F642" s="150"/>
    </row>
    <row r="645" spans="1:6" ht="18" customHeight="1" thickBot="1" x14ac:dyDescent="0.3">
      <c r="C645" s="113" t="s">
        <v>1</v>
      </c>
      <c r="D645" s="113" t="s">
        <v>2</v>
      </c>
      <c r="E645" s="113" t="s">
        <v>239</v>
      </c>
      <c r="F645" s="113" t="s">
        <v>240</v>
      </c>
    </row>
    <row r="646" spans="1:6" ht="18" customHeight="1" x14ac:dyDescent="0.25">
      <c r="A646" s="151" t="s">
        <v>397</v>
      </c>
      <c r="B646" s="154" t="s">
        <v>243</v>
      </c>
      <c r="C646" s="145" t="s">
        <v>233</v>
      </c>
      <c r="D646" s="145"/>
      <c r="E646" s="93" t="s">
        <v>231</v>
      </c>
      <c r="F646" s="94" t="s">
        <v>232</v>
      </c>
    </row>
    <row r="647" spans="1:6" ht="18" customHeight="1" x14ac:dyDescent="0.25">
      <c r="A647" s="152"/>
      <c r="B647" s="155"/>
      <c r="C647" s="157" t="s">
        <v>228</v>
      </c>
      <c r="D647" s="157"/>
      <c r="E647" s="120"/>
      <c r="F647" s="121"/>
    </row>
    <row r="648" spans="1:6" ht="18" customHeight="1" x14ac:dyDescent="0.25">
      <c r="A648" s="152"/>
      <c r="B648" s="155"/>
      <c r="C648" s="120" t="s">
        <v>232</v>
      </c>
      <c r="D648" s="120" t="s">
        <v>229</v>
      </c>
      <c r="E648" s="120"/>
      <c r="F648" s="121"/>
    </row>
    <row r="649" spans="1:6" ht="18" customHeight="1" thickBot="1" x14ac:dyDescent="0.3">
      <c r="A649" s="153"/>
      <c r="B649" s="156"/>
      <c r="C649" s="122" t="s">
        <v>213</v>
      </c>
      <c r="D649" s="122" t="s">
        <v>235</v>
      </c>
      <c r="E649" s="122"/>
      <c r="F649" s="123"/>
    </row>
    <row r="650" spans="1:6" ht="18" customHeight="1" x14ac:dyDescent="0.25">
      <c r="A650" s="168" t="s">
        <v>398</v>
      </c>
      <c r="B650" s="158" t="s">
        <v>244</v>
      </c>
      <c r="C650" s="145" t="s">
        <v>233</v>
      </c>
      <c r="D650" s="145"/>
      <c r="E650" s="93" t="s">
        <v>213</v>
      </c>
      <c r="F650" s="94"/>
    </row>
    <row r="651" spans="1:6" ht="18" customHeight="1" x14ac:dyDescent="0.25">
      <c r="A651" s="169"/>
      <c r="B651" s="159"/>
      <c r="C651" s="161" t="s">
        <v>228</v>
      </c>
      <c r="D651" s="161"/>
      <c r="E651" s="92" t="s">
        <v>231</v>
      </c>
      <c r="F651" s="95"/>
    </row>
    <row r="652" spans="1:6" ht="18" customHeight="1" x14ac:dyDescent="0.25">
      <c r="A652" s="169"/>
      <c r="B652" s="159"/>
      <c r="C652" s="92" t="s">
        <v>232</v>
      </c>
      <c r="D652" s="92" t="s">
        <v>229</v>
      </c>
      <c r="E652" s="92"/>
      <c r="F652" s="95"/>
    </row>
    <row r="653" spans="1:6" ht="18" customHeight="1" thickBot="1" x14ac:dyDescent="0.3">
      <c r="A653" s="170"/>
      <c r="B653" s="160"/>
      <c r="C653" s="96" t="s">
        <v>213</v>
      </c>
      <c r="D653" s="96" t="s">
        <v>235</v>
      </c>
      <c r="E653" s="96"/>
      <c r="F653" s="97"/>
    </row>
    <row r="654" spans="1:6" ht="18" customHeight="1" x14ac:dyDescent="0.25">
      <c r="A654" s="162" t="s">
        <v>399</v>
      </c>
      <c r="B654" s="165" t="s">
        <v>245</v>
      </c>
      <c r="C654" s="145" t="s">
        <v>229</v>
      </c>
      <c r="D654" s="145"/>
      <c r="E654" s="93" t="s">
        <v>233</v>
      </c>
      <c r="F654" s="94"/>
    </row>
    <row r="655" spans="1:6" ht="18" customHeight="1" x14ac:dyDescent="0.25">
      <c r="A655" s="163"/>
      <c r="B655" s="166"/>
      <c r="C655" s="161" t="s">
        <v>235</v>
      </c>
      <c r="D655" s="161"/>
      <c r="E655" s="92" t="s">
        <v>228</v>
      </c>
      <c r="F655" s="95"/>
    </row>
    <row r="656" spans="1:6" ht="18" customHeight="1" x14ac:dyDescent="0.25">
      <c r="A656" s="163"/>
      <c r="B656" s="166"/>
      <c r="C656" s="92" t="s">
        <v>232</v>
      </c>
      <c r="D656" s="92" t="s">
        <v>233</v>
      </c>
      <c r="E656" s="92" t="s">
        <v>231</v>
      </c>
      <c r="F656" s="95"/>
    </row>
    <row r="657" spans="1:6" ht="18" customHeight="1" thickBot="1" x14ac:dyDescent="0.3">
      <c r="A657" s="164"/>
      <c r="B657" s="167"/>
      <c r="C657" s="96" t="s">
        <v>213</v>
      </c>
      <c r="D657" s="96" t="s">
        <v>228</v>
      </c>
      <c r="E657" s="96"/>
      <c r="F657" s="97"/>
    </row>
    <row r="658" spans="1:6" ht="18" customHeight="1" x14ac:dyDescent="0.25">
      <c r="A658" s="171" t="s">
        <v>400</v>
      </c>
      <c r="B658" s="174" t="s">
        <v>246</v>
      </c>
      <c r="C658" s="145" t="s">
        <v>229</v>
      </c>
      <c r="D658" s="145"/>
      <c r="E658" s="93" t="s">
        <v>226</v>
      </c>
      <c r="F658" s="94"/>
    </row>
    <row r="659" spans="1:6" ht="18" customHeight="1" x14ac:dyDescent="0.25">
      <c r="A659" s="172"/>
      <c r="B659" s="175"/>
      <c r="C659" s="161" t="s">
        <v>235</v>
      </c>
      <c r="D659" s="161"/>
      <c r="E659" s="92" t="s">
        <v>227</v>
      </c>
      <c r="F659" s="95"/>
    </row>
    <row r="660" spans="1:6" ht="18" customHeight="1" x14ac:dyDescent="0.25">
      <c r="A660" s="172"/>
      <c r="B660" s="175"/>
      <c r="C660" s="92" t="s">
        <v>232</v>
      </c>
      <c r="D660" s="92" t="s">
        <v>226</v>
      </c>
      <c r="E660" s="92" t="s">
        <v>231</v>
      </c>
      <c r="F660" s="95"/>
    </row>
    <row r="661" spans="1:6" ht="18" customHeight="1" thickBot="1" x14ac:dyDescent="0.3">
      <c r="A661" s="173"/>
      <c r="B661" s="176"/>
      <c r="C661" s="96" t="s">
        <v>213</v>
      </c>
      <c r="D661" s="96" t="s">
        <v>227</v>
      </c>
      <c r="E661" s="96"/>
      <c r="F661" s="97"/>
    </row>
    <row r="662" spans="1:6" ht="18" customHeight="1" x14ac:dyDescent="0.25">
      <c r="A662" s="177" t="s">
        <v>401</v>
      </c>
      <c r="B662" s="180" t="s">
        <v>241</v>
      </c>
      <c r="C662" s="145" t="s">
        <v>226</v>
      </c>
      <c r="D662" s="145"/>
      <c r="E662" s="93" t="s">
        <v>234</v>
      </c>
      <c r="F662" s="94"/>
    </row>
    <row r="663" spans="1:6" ht="18" customHeight="1" x14ac:dyDescent="0.25">
      <c r="A663" s="178"/>
      <c r="B663" s="181"/>
      <c r="C663" s="161" t="s">
        <v>213</v>
      </c>
      <c r="D663" s="161"/>
      <c r="E663" s="92" t="s">
        <v>230</v>
      </c>
      <c r="F663" s="95"/>
    </row>
    <row r="664" spans="1:6" ht="18" customHeight="1" x14ac:dyDescent="0.25">
      <c r="A664" s="178"/>
      <c r="B664" s="181"/>
      <c r="C664" s="92" t="s">
        <v>232</v>
      </c>
      <c r="D664" s="92" t="s">
        <v>234</v>
      </c>
      <c r="E664" s="92" t="s">
        <v>231</v>
      </c>
      <c r="F664" s="95"/>
    </row>
    <row r="665" spans="1:6" ht="18" customHeight="1" thickBot="1" x14ac:dyDescent="0.3">
      <c r="A665" s="179"/>
      <c r="B665" s="182"/>
      <c r="C665" s="96" t="s">
        <v>227</v>
      </c>
      <c r="D665" s="96" t="s">
        <v>230</v>
      </c>
      <c r="E665" s="96"/>
      <c r="F665" s="97"/>
    </row>
    <row r="666" spans="1:6" ht="18" customHeight="1" x14ac:dyDescent="0.25">
      <c r="A666" s="139" t="s">
        <v>402</v>
      </c>
      <c r="B666" s="142" t="s">
        <v>7</v>
      </c>
      <c r="C666" s="145" t="s">
        <v>231</v>
      </c>
      <c r="D666" s="145"/>
      <c r="E666" s="93"/>
      <c r="F666" s="94"/>
    </row>
    <row r="667" spans="1:6" ht="18" customHeight="1" x14ac:dyDescent="0.25">
      <c r="A667" s="140"/>
      <c r="B667" s="143"/>
      <c r="C667" s="161" t="s">
        <v>226</v>
      </c>
      <c r="D667" s="161"/>
      <c r="E667" s="92"/>
      <c r="F667" s="95"/>
    </row>
    <row r="668" spans="1:6" ht="18" customHeight="1" x14ac:dyDescent="0.25">
      <c r="A668" s="140"/>
      <c r="B668" s="143"/>
      <c r="C668" s="161" t="s">
        <v>234</v>
      </c>
      <c r="D668" s="161"/>
      <c r="E668" s="92"/>
      <c r="F668" s="95"/>
    </row>
    <row r="669" spans="1:6" ht="18" customHeight="1" thickBot="1" x14ac:dyDescent="0.3">
      <c r="A669" s="141"/>
      <c r="B669" s="144"/>
      <c r="C669" s="183" t="s">
        <v>230</v>
      </c>
      <c r="D669" s="183"/>
      <c r="E669" s="96"/>
      <c r="F669" s="97"/>
    </row>
    <row r="670" spans="1:6" ht="18" customHeight="1" x14ac:dyDescent="0.25">
      <c r="A670" s="146" t="s">
        <v>403</v>
      </c>
      <c r="B670" s="148" t="s">
        <v>8</v>
      </c>
      <c r="C670" s="145" t="s">
        <v>234</v>
      </c>
      <c r="D670" s="145"/>
      <c r="E670" s="93"/>
      <c r="F670" s="94"/>
    </row>
    <row r="671" spans="1:6" ht="18" customHeight="1" thickBot="1" x14ac:dyDescent="0.3">
      <c r="A671" s="147"/>
      <c r="B671" s="149"/>
      <c r="C671" s="183" t="s">
        <v>230</v>
      </c>
      <c r="D671" s="183"/>
      <c r="E671" s="96"/>
      <c r="F671" s="97"/>
    </row>
    <row r="672" spans="1:6" ht="18" customHeight="1" x14ac:dyDescent="0.25">
      <c r="B672" s="115" t="s">
        <v>242</v>
      </c>
      <c r="C672" s="150" t="s">
        <v>231</v>
      </c>
      <c r="D672" s="150"/>
      <c r="E672" s="150"/>
      <c r="F672" s="150"/>
    </row>
    <row r="675" spans="1:6" ht="18" customHeight="1" thickBot="1" x14ac:dyDescent="0.3">
      <c r="C675" s="113" t="s">
        <v>1</v>
      </c>
      <c r="D675" s="113" t="s">
        <v>2</v>
      </c>
      <c r="E675" s="113" t="s">
        <v>239</v>
      </c>
      <c r="F675" s="113" t="s">
        <v>240</v>
      </c>
    </row>
    <row r="676" spans="1:6" ht="18" customHeight="1" x14ac:dyDescent="0.25">
      <c r="A676" s="151" t="s">
        <v>404</v>
      </c>
      <c r="B676" s="154" t="s">
        <v>243</v>
      </c>
      <c r="C676" s="145" t="s">
        <v>231</v>
      </c>
      <c r="D676" s="145"/>
      <c r="E676" s="93" t="s">
        <v>213</v>
      </c>
      <c r="F676" s="94" t="s">
        <v>226</v>
      </c>
    </row>
    <row r="677" spans="1:6" ht="18" customHeight="1" x14ac:dyDescent="0.25">
      <c r="A677" s="152"/>
      <c r="B677" s="155"/>
      <c r="C677" s="157" t="s">
        <v>235</v>
      </c>
      <c r="D677" s="157"/>
      <c r="E677" s="120"/>
      <c r="F677" s="121"/>
    </row>
    <row r="678" spans="1:6" ht="18" customHeight="1" x14ac:dyDescent="0.25">
      <c r="A678" s="152"/>
      <c r="B678" s="155"/>
      <c r="C678" s="120" t="s">
        <v>226</v>
      </c>
      <c r="D678" s="120" t="s">
        <v>232</v>
      </c>
      <c r="E678" s="120"/>
      <c r="F678" s="121"/>
    </row>
    <row r="679" spans="1:6" ht="18" customHeight="1" thickBot="1" x14ac:dyDescent="0.3">
      <c r="A679" s="153"/>
      <c r="B679" s="156"/>
      <c r="C679" s="122" t="s">
        <v>227</v>
      </c>
      <c r="D679" s="122" t="s">
        <v>229</v>
      </c>
      <c r="E679" s="122"/>
      <c r="F679" s="123"/>
    </row>
    <row r="680" spans="1:6" ht="18" customHeight="1" x14ac:dyDescent="0.25">
      <c r="A680" s="168" t="s">
        <v>405</v>
      </c>
      <c r="B680" s="158" t="s">
        <v>244</v>
      </c>
      <c r="C680" s="145" t="s">
        <v>231</v>
      </c>
      <c r="D680" s="145"/>
      <c r="E680" s="93" t="s">
        <v>227</v>
      </c>
      <c r="F680" s="94"/>
    </row>
    <row r="681" spans="1:6" ht="18" customHeight="1" x14ac:dyDescent="0.25">
      <c r="A681" s="169"/>
      <c r="B681" s="159"/>
      <c r="C681" s="161" t="s">
        <v>235</v>
      </c>
      <c r="D681" s="161"/>
      <c r="E681" s="92" t="s">
        <v>213</v>
      </c>
      <c r="F681" s="95"/>
    </row>
    <row r="682" spans="1:6" ht="18" customHeight="1" x14ac:dyDescent="0.25">
      <c r="A682" s="169"/>
      <c r="B682" s="159"/>
      <c r="C682" s="92" t="s">
        <v>226</v>
      </c>
      <c r="D682" s="92" t="s">
        <v>232</v>
      </c>
      <c r="E682" s="92"/>
      <c r="F682" s="95"/>
    </row>
    <row r="683" spans="1:6" ht="18" customHeight="1" thickBot="1" x14ac:dyDescent="0.3">
      <c r="A683" s="170"/>
      <c r="B683" s="160"/>
      <c r="C683" s="96" t="s">
        <v>227</v>
      </c>
      <c r="D683" s="96" t="s">
        <v>229</v>
      </c>
      <c r="E683" s="96"/>
      <c r="F683" s="97"/>
    </row>
    <row r="684" spans="1:6" ht="18" customHeight="1" x14ac:dyDescent="0.25">
      <c r="A684" s="162" t="s">
        <v>406</v>
      </c>
      <c r="B684" s="165" t="s">
        <v>245</v>
      </c>
      <c r="C684" s="145" t="s">
        <v>232</v>
      </c>
      <c r="D684" s="145"/>
      <c r="E684" s="93" t="s">
        <v>231</v>
      </c>
      <c r="F684" s="94"/>
    </row>
    <row r="685" spans="1:6" ht="18" customHeight="1" x14ac:dyDescent="0.25">
      <c r="A685" s="163"/>
      <c r="B685" s="166"/>
      <c r="C685" s="161" t="s">
        <v>229</v>
      </c>
      <c r="D685" s="161"/>
      <c r="E685" s="92" t="s">
        <v>235</v>
      </c>
      <c r="F685" s="95"/>
    </row>
    <row r="686" spans="1:6" ht="18" customHeight="1" x14ac:dyDescent="0.25">
      <c r="A686" s="163"/>
      <c r="B686" s="166"/>
      <c r="C686" s="92" t="s">
        <v>226</v>
      </c>
      <c r="D686" s="92" t="s">
        <v>231</v>
      </c>
      <c r="E686" s="92" t="s">
        <v>213</v>
      </c>
      <c r="F686" s="95"/>
    </row>
    <row r="687" spans="1:6" ht="18" customHeight="1" thickBot="1" x14ac:dyDescent="0.3">
      <c r="A687" s="164"/>
      <c r="B687" s="167"/>
      <c r="C687" s="96" t="s">
        <v>227</v>
      </c>
      <c r="D687" s="96" t="s">
        <v>235</v>
      </c>
      <c r="E687" s="96"/>
      <c r="F687" s="97"/>
    </row>
    <row r="688" spans="1:6" ht="18" customHeight="1" x14ac:dyDescent="0.25">
      <c r="A688" s="171" t="s">
        <v>407</v>
      </c>
      <c r="B688" s="174" t="s">
        <v>246</v>
      </c>
      <c r="C688" s="145" t="s">
        <v>232</v>
      </c>
      <c r="D688" s="145"/>
      <c r="E688" s="93" t="s">
        <v>233</v>
      </c>
      <c r="F688" s="94"/>
    </row>
    <row r="689" spans="1:6" ht="18" customHeight="1" x14ac:dyDescent="0.25">
      <c r="A689" s="172"/>
      <c r="B689" s="175"/>
      <c r="C689" s="161" t="s">
        <v>229</v>
      </c>
      <c r="D689" s="161"/>
      <c r="E689" s="92" t="s">
        <v>230</v>
      </c>
      <c r="F689" s="95"/>
    </row>
    <row r="690" spans="1:6" ht="18" customHeight="1" x14ac:dyDescent="0.25">
      <c r="A690" s="172"/>
      <c r="B690" s="175"/>
      <c r="C690" s="92" t="s">
        <v>226</v>
      </c>
      <c r="D690" s="92" t="s">
        <v>233</v>
      </c>
      <c r="E690" s="92" t="s">
        <v>213</v>
      </c>
      <c r="F690" s="95"/>
    </row>
    <row r="691" spans="1:6" ht="18" customHeight="1" thickBot="1" x14ac:dyDescent="0.3">
      <c r="A691" s="173"/>
      <c r="B691" s="176"/>
      <c r="C691" s="96" t="s">
        <v>227</v>
      </c>
      <c r="D691" s="96" t="s">
        <v>230</v>
      </c>
      <c r="E691" s="96"/>
      <c r="F691" s="97"/>
    </row>
    <row r="692" spans="1:6" ht="18" customHeight="1" x14ac:dyDescent="0.25">
      <c r="A692" s="177" t="s">
        <v>408</v>
      </c>
      <c r="B692" s="180" t="s">
        <v>241</v>
      </c>
      <c r="C692" s="145" t="s">
        <v>233</v>
      </c>
      <c r="D692" s="145"/>
      <c r="E692" s="93" t="s">
        <v>228</v>
      </c>
      <c r="F692" s="94"/>
    </row>
    <row r="693" spans="1:6" ht="18" customHeight="1" x14ac:dyDescent="0.25">
      <c r="A693" s="178"/>
      <c r="B693" s="181"/>
      <c r="C693" s="161" t="s">
        <v>230</v>
      </c>
      <c r="D693" s="161"/>
      <c r="E693" s="92" t="s">
        <v>234</v>
      </c>
      <c r="F693" s="95"/>
    </row>
    <row r="694" spans="1:6" ht="18" customHeight="1" x14ac:dyDescent="0.25">
      <c r="A694" s="178"/>
      <c r="B694" s="181"/>
      <c r="C694" s="92" t="s">
        <v>226</v>
      </c>
      <c r="D694" s="92" t="s">
        <v>228</v>
      </c>
      <c r="E694" s="92" t="s">
        <v>213</v>
      </c>
      <c r="F694" s="95"/>
    </row>
    <row r="695" spans="1:6" ht="18" customHeight="1" thickBot="1" x14ac:dyDescent="0.3">
      <c r="A695" s="179"/>
      <c r="B695" s="182"/>
      <c r="C695" s="96" t="s">
        <v>227</v>
      </c>
      <c r="D695" s="96" t="s">
        <v>234</v>
      </c>
      <c r="E695" s="96"/>
      <c r="F695" s="97"/>
    </row>
    <row r="696" spans="1:6" ht="18" customHeight="1" x14ac:dyDescent="0.25">
      <c r="A696" s="139" t="s">
        <v>409</v>
      </c>
      <c r="B696" s="142" t="s">
        <v>7</v>
      </c>
      <c r="C696" s="145" t="s">
        <v>233</v>
      </c>
      <c r="D696" s="145"/>
      <c r="E696" s="93"/>
      <c r="F696" s="94"/>
    </row>
    <row r="697" spans="1:6" ht="18" customHeight="1" x14ac:dyDescent="0.25">
      <c r="A697" s="140"/>
      <c r="B697" s="143"/>
      <c r="C697" s="161" t="s">
        <v>228</v>
      </c>
      <c r="D697" s="161"/>
      <c r="E697" s="92"/>
      <c r="F697" s="95"/>
    </row>
    <row r="698" spans="1:6" ht="18" customHeight="1" x14ac:dyDescent="0.25">
      <c r="A698" s="140"/>
      <c r="B698" s="143"/>
      <c r="C698" s="161" t="s">
        <v>234</v>
      </c>
      <c r="D698" s="161"/>
      <c r="E698" s="92"/>
      <c r="F698" s="95"/>
    </row>
    <row r="699" spans="1:6" ht="18" customHeight="1" thickBot="1" x14ac:dyDescent="0.3">
      <c r="A699" s="141"/>
      <c r="B699" s="144"/>
      <c r="C699" s="183" t="s">
        <v>230</v>
      </c>
      <c r="D699" s="183"/>
      <c r="E699" s="96"/>
      <c r="F699" s="97"/>
    </row>
    <row r="700" spans="1:6" ht="18" customHeight="1" x14ac:dyDescent="0.25">
      <c r="A700" s="146" t="s">
        <v>410</v>
      </c>
      <c r="B700" s="148" t="s">
        <v>8</v>
      </c>
      <c r="C700" s="145" t="s">
        <v>228</v>
      </c>
      <c r="D700" s="145"/>
      <c r="E700" s="93"/>
      <c r="F700" s="94"/>
    </row>
    <row r="701" spans="1:6" ht="18" customHeight="1" thickBot="1" x14ac:dyDescent="0.3">
      <c r="A701" s="147"/>
      <c r="B701" s="149"/>
      <c r="C701" s="183" t="s">
        <v>234</v>
      </c>
      <c r="D701" s="183"/>
      <c r="E701" s="96"/>
      <c r="F701" s="97"/>
    </row>
    <row r="702" spans="1:6" ht="18" customHeight="1" x14ac:dyDescent="0.25">
      <c r="B702" s="115" t="s">
        <v>242</v>
      </c>
      <c r="C702" s="150" t="s">
        <v>213</v>
      </c>
      <c r="D702" s="150"/>
      <c r="E702" s="150"/>
      <c r="F702" s="150"/>
    </row>
    <row r="705" spans="1:6" ht="18" customHeight="1" thickBot="1" x14ac:dyDescent="0.3">
      <c r="C705" s="113" t="s">
        <v>1</v>
      </c>
      <c r="D705" s="113" t="s">
        <v>2</v>
      </c>
      <c r="E705" s="113" t="s">
        <v>239</v>
      </c>
      <c r="F705" s="113" t="s">
        <v>240</v>
      </c>
    </row>
    <row r="706" spans="1:6" ht="18" customHeight="1" x14ac:dyDescent="0.25">
      <c r="A706" s="151" t="s">
        <v>411</v>
      </c>
      <c r="B706" s="154" t="s">
        <v>243</v>
      </c>
      <c r="C706" s="145" t="s">
        <v>229</v>
      </c>
      <c r="D706" s="145"/>
      <c r="E706" s="93" t="s">
        <v>227</v>
      </c>
      <c r="F706" s="94" t="s">
        <v>233</v>
      </c>
    </row>
    <row r="707" spans="1:6" ht="18" customHeight="1" x14ac:dyDescent="0.25">
      <c r="A707" s="152"/>
      <c r="B707" s="155"/>
      <c r="C707" s="157" t="s">
        <v>213</v>
      </c>
      <c r="D707" s="157"/>
      <c r="E707" s="120"/>
      <c r="F707" s="121"/>
    </row>
    <row r="708" spans="1:6" ht="18" customHeight="1" x14ac:dyDescent="0.25">
      <c r="A708" s="152"/>
      <c r="B708" s="155"/>
      <c r="C708" s="120" t="s">
        <v>233</v>
      </c>
      <c r="D708" s="120" t="s">
        <v>226</v>
      </c>
      <c r="E708" s="120"/>
      <c r="F708" s="121"/>
    </row>
    <row r="709" spans="1:6" ht="18" customHeight="1" thickBot="1" x14ac:dyDescent="0.3">
      <c r="A709" s="153"/>
      <c r="B709" s="156"/>
      <c r="C709" s="122" t="s">
        <v>230</v>
      </c>
      <c r="D709" s="122" t="s">
        <v>232</v>
      </c>
      <c r="E709" s="122"/>
      <c r="F709" s="123"/>
    </row>
    <row r="710" spans="1:6" ht="18" customHeight="1" x14ac:dyDescent="0.25">
      <c r="A710" s="168" t="s">
        <v>412</v>
      </c>
      <c r="B710" s="158" t="s">
        <v>244</v>
      </c>
      <c r="C710" s="145" t="s">
        <v>229</v>
      </c>
      <c r="D710" s="145"/>
      <c r="E710" s="93" t="s">
        <v>230</v>
      </c>
      <c r="F710" s="94"/>
    </row>
    <row r="711" spans="1:6" ht="18" customHeight="1" x14ac:dyDescent="0.25">
      <c r="A711" s="169"/>
      <c r="B711" s="159"/>
      <c r="C711" s="161" t="s">
        <v>213</v>
      </c>
      <c r="D711" s="161"/>
      <c r="E711" s="92" t="s">
        <v>227</v>
      </c>
      <c r="F711" s="95"/>
    </row>
    <row r="712" spans="1:6" ht="18" customHeight="1" x14ac:dyDescent="0.25">
      <c r="A712" s="169"/>
      <c r="B712" s="159"/>
      <c r="C712" s="92" t="s">
        <v>233</v>
      </c>
      <c r="D712" s="92" t="s">
        <v>226</v>
      </c>
      <c r="E712" s="92"/>
      <c r="F712" s="95"/>
    </row>
    <row r="713" spans="1:6" ht="18" customHeight="1" thickBot="1" x14ac:dyDescent="0.3">
      <c r="A713" s="170"/>
      <c r="B713" s="160"/>
      <c r="C713" s="96" t="s">
        <v>230</v>
      </c>
      <c r="D713" s="96" t="s">
        <v>232</v>
      </c>
      <c r="E713" s="96"/>
      <c r="F713" s="97"/>
    </row>
    <row r="714" spans="1:6" ht="18" customHeight="1" x14ac:dyDescent="0.25">
      <c r="A714" s="162" t="s">
        <v>413</v>
      </c>
      <c r="B714" s="165" t="s">
        <v>245</v>
      </c>
      <c r="C714" s="145" t="s">
        <v>226</v>
      </c>
      <c r="D714" s="145"/>
      <c r="E714" s="93" t="s">
        <v>229</v>
      </c>
      <c r="F714" s="94"/>
    </row>
    <row r="715" spans="1:6" ht="18" customHeight="1" x14ac:dyDescent="0.25">
      <c r="A715" s="163"/>
      <c r="B715" s="166"/>
      <c r="C715" s="161" t="s">
        <v>232</v>
      </c>
      <c r="D715" s="161"/>
      <c r="E715" s="92" t="s">
        <v>213</v>
      </c>
      <c r="F715" s="95"/>
    </row>
    <row r="716" spans="1:6" ht="18" customHeight="1" x14ac:dyDescent="0.25">
      <c r="A716" s="163"/>
      <c r="B716" s="166"/>
      <c r="C716" s="92" t="s">
        <v>233</v>
      </c>
      <c r="D716" s="92" t="s">
        <v>229</v>
      </c>
      <c r="E716" s="92" t="s">
        <v>227</v>
      </c>
      <c r="F716" s="95"/>
    </row>
    <row r="717" spans="1:6" ht="18" customHeight="1" thickBot="1" x14ac:dyDescent="0.3">
      <c r="A717" s="164"/>
      <c r="B717" s="167"/>
      <c r="C717" s="96" t="s">
        <v>230</v>
      </c>
      <c r="D717" s="96" t="s">
        <v>213</v>
      </c>
      <c r="E717" s="96"/>
      <c r="F717" s="97"/>
    </row>
    <row r="718" spans="1:6" ht="18" customHeight="1" x14ac:dyDescent="0.25">
      <c r="A718" s="171" t="s">
        <v>414</v>
      </c>
      <c r="B718" s="174" t="s">
        <v>246</v>
      </c>
      <c r="C718" s="145" t="s">
        <v>226</v>
      </c>
      <c r="D718" s="145"/>
      <c r="E718" s="93" t="s">
        <v>231</v>
      </c>
      <c r="F718" s="94"/>
    </row>
    <row r="719" spans="1:6" ht="18" customHeight="1" x14ac:dyDescent="0.25">
      <c r="A719" s="172"/>
      <c r="B719" s="175"/>
      <c r="C719" s="161" t="s">
        <v>232</v>
      </c>
      <c r="D719" s="161"/>
      <c r="E719" s="92" t="s">
        <v>234</v>
      </c>
      <c r="F719" s="95"/>
    </row>
    <row r="720" spans="1:6" ht="18" customHeight="1" x14ac:dyDescent="0.25">
      <c r="A720" s="172"/>
      <c r="B720" s="175"/>
      <c r="C720" s="92" t="s">
        <v>233</v>
      </c>
      <c r="D720" s="92" t="s">
        <v>231</v>
      </c>
      <c r="E720" s="92" t="s">
        <v>227</v>
      </c>
      <c r="F720" s="95"/>
    </row>
    <row r="721" spans="1:6" ht="18" customHeight="1" thickBot="1" x14ac:dyDescent="0.3">
      <c r="A721" s="173"/>
      <c r="B721" s="176"/>
      <c r="C721" s="96" t="s">
        <v>230</v>
      </c>
      <c r="D721" s="96" t="s">
        <v>234</v>
      </c>
      <c r="E721" s="96"/>
      <c r="F721" s="97"/>
    </row>
    <row r="722" spans="1:6" ht="18" customHeight="1" x14ac:dyDescent="0.25">
      <c r="A722" s="177" t="s">
        <v>415</v>
      </c>
      <c r="B722" s="180" t="s">
        <v>241</v>
      </c>
      <c r="C722" s="145" t="s">
        <v>231</v>
      </c>
      <c r="D722" s="145"/>
      <c r="E722" s="93" t="s">
        <v>235</v>
      </c>
      <c r="F722" s="94"/>
    </row>
    <row r="723" spans="1:6" ht="18" customHeight="1" x14ac:dyDescent="0.25">
      <c r="A723" s="178"/>
      <c r="B723" s="181"/>
      <c r="C723" s="161" t="s">
        <v>234</v>
      </c>
      <c r="D723" s="161"/>
      <c r="E723" s="92" t="s">
        <v>228</v>
      </c>
      <c r="F723" s="95"/>
    </row>
    <row r="724" spans="1:6" ht="18" customHeight="1" x14ac:dyDescent="0.25">
      <c r="A724" s="178"/>
      <c r="B724" s="181"/>
      <c r="C724" s="92" t="s">
        <v>233</v>
      </c>
      <c r="D724" s="92" t="s">
        <v>235</v>
      </c>
      <c r="E724" s="92" t="s">
        <v>227</v>
      </c>
      <c r="F724" s="95"/>
    </row>
    <row r="725" spans="1:6" ht="18" customHeight="1" thickBot="1" x14ac:dyDescent="0.3">
      <c r="A725" s="179"/>
      <c r="B725" s="182"/>
      <c r="C725" s="96" t="s">
        <v>230</v>
      </c>
      <c r="D725" s="96" t="s">
        <v>228</v>
      </c>
      <c r="E725" s="96"/>
      <c r="F725" s="97"/>
    </row>
    <row r="726" spans="1:6" ht="18" customHeight="1" x14ac:dyDescent="0.25">
      <c r="A726" s="139" t="s">
        <v>416</v>
      </c>
      <c r="B726" s="142" t="s">
        <v>7</v>
      </c>
      <c r="C726" s="145" t="s">
        <v>231</v>
      </c>
      <c r="D726" s="145"/>
      <c r="E726" s="93"/>
      <c r="F726" s="94"/>
    </row>
    <row r="727" spans="1:6" ht="18" customHeight="1" x14ac:dyDescent="0.25">
      <c r="A727" s="140"/>
      <c r="B727" s="143"/>
      <c r="C727" s="161" t="s">
        <v>235</v>
      </c>
      <c r="D727" s="161"/>
      <c r="E727" s="92"/>
      <c r="F727" s="95"/>
    </row>
    <row r="728" spans="1:6" ht="18" customHeight="1" x14ac:dyDescent="0.25">
      <c r="A728" s="140"/>
      <c r="B728" s="143"/>
      <c r="C728" s="161" t="s">
        <v>228</v>
      </c>
      <c r="D728" s="161"/>
      <c r="E728" s="92"/>
      <c r="F728" s="95"/>
    </row>
    <row r="729" spans="1:6" ht="18" customHeight="1" thickBot="1" x14ac:dyDescent="0.3">
      <c r="A729" s="141"/>
      <c r="B729" s="144"/>
      <c r="C729" s="183" t="s">
        <v>234</v>
      </c>
      <c r="D729" s="183"/>
      <c r="E729" s="96"/>
      <c r="F729" s="97"/>
    </row>
    <row r="730" spans="1:6" ht="18" customHeight="1" x14ac:dyDescent="0.25">
      <c r="A730" s="146" t="s">
        <v>417</v>
      </c>
      <c r="B730" s="148" t="s">
        <v>8</v>
      </c>
      <c r="C730" s="145" t="s">
        <v>235</v>
      </c>
      <c r="D730" s="145"/>
      <c r="E730" s="93"/>
      <c r="F730" s="94"/>
    </row>
    <row r="731" spans="1:6" ht="18" customHeight="1" thickBot="1" x14ac:dyDescent="0.3">
      <c r="A731" s="147"/>
      <c r="B731" s="149"/>
      <c r="C731" s="183" t="s">
        <v>228</v>
      </c>
      <c r="D731" s="183"/>
      <c r="E731" s="96"/>
      <c r="F731" s="97"/>
    </row>
    <row r="732" spans="1:6" ht="18" customHeight="1" x14ac:dyDescent="0.25">
      <c r="B732" s="115" t="s">
        <v>242</v>
      </c>
      <c r="C732" s="150" t="s">
        <v>227</v>
      </c>
      <c r="D732" s="150"/>
      <c r="E732" s="150"/>
      <c r="F732" s="150"/>
    </row>
    <row r="735" spans="1:6" ht="18" customHeight="1" thickBot="1" x14ac:dyDescent="0.3">
      <c r="C735" s="113" t="s">
        <v>1</v>
      </c>
      <c r="D735" s="113" t="s">
        <v>2</v>
      </c>
      <c r="E735" s="113" t="s">
        <v>239</v>
      </c>
      <c r="F735" s="113" t="s">
        <v>240</v>
      </c>
    </row>
    <row r="736" spans="1:6" ht="18" customHeight="1" x14ac:dyDescent="0.25">
      <c r="A736" s="151" t="s">
        <v>418</v>
      </c>
      <c r="B736" s="154" t="s">
        <v>243</v>
      </c>
      <c r="C736" s="145" t="s">
        <v>232</v>
      </c>
      <c r="D736" s="145"/>
      <c r="E736" s="93" t="s">
        <v>230</v>
      </c>
      <c r="F736" s="94" t="s">
        <v>231</v>
      </c>
    </row>
    <row r="737" spans="1:6" ht="18" customHeight="1" x14ac:dyDescent="0.25">
      <c r="A737" s="152"/>
      <c r="B737" s="155"/>
      <c r="C737" s="157" t="s">
        <v>227</v>
      </c>
      <c r="D737" s="157"/>
      <c r="E737" s="120"/>
      <c r="F737" s="121"/>
    </row>
    <row r="738" spans="1:6" ht="18" customHeight="1" x14ac:dyDescent="0.25">
      <c r="A738" s="152"/>
      <c r="B738" s="155"/>
      <c r="C738" s="120" t="s">
        <v>231</v>
      </c>
      <c r="D738" s="120" t="s">
        <v>233</v>
      </c>
      <c r="E738" s="120"/>
      <c r="F738" s="121"/>
    </row>
    <row r="739" spans="1:6" ht="18" customHeight="1" thickBot="1" x14ac:dyDescent="0.3">
      <c r="A739" s="153"/>
      <c r="B739" s="156"/>
      <c r="C739" s="122" t="s">
        <v>234</v>
      </c>
      <c r="D739" s="122" t="s">
        <v>226</v>
      </c>
      <c r="E739" s="122"/>
      <c r="F739" s="123"/>
    </row>
    <row r="740" spans="1:6" ht="18" customHeight="1" x14ac:dyDescent="0.25">
      <c r="A740" s="168" t="s">
        <v>419</v>
      </c>
      <c r="B740" s="158" t="s">
        <v>244</v>
      </c>
      <c r="C740" s="145" t="s">
        <v>232</v>
      </c>
      <c r="D740" s="145"/>
      <c r="E740" s="93" t="s">
        <v>234</v>
      </c>
      <c r="F740" s="94"/>
    </row>
    <row r="741" spans="1:6" ht="18" customHeight="1" x14ac:dyDescent="0.25">
      <c r="A741" s="169"/>
      <c r="B741" s="159"/>
      <c r="C741" s="161" t="s">
        <v>227</v>
      </c>
      <c r="D741" s="161"/>
      <c r="E741" s="92" t="s">
        <v>230</v>
      </c>
      <c r="F741" s="95"/>
    </row>
    <row r="742" spans="1:6" ht="18" customHeight="1" x14ac:dyDescent="0.25">
      <c r="A742" s="169"/>
      <c r="B742" s="159"/>
      <c r="C742" s="92" t="s">
        <v>231</v>
      </c>
      <c r="D742" s="92" t="s">
        <v>233</v>
      </c>
      <c r="E742" s="92"/>
      <c r="F742" s="95"/>
    </row>
    <row r="743" spans="1:6" ht="18" customHeight="1" thickBot="1" x14ac:dyDescent="0.3">
      <c r="A743" s="170"/>
      <c r="B743" s="160"/>
      <c r="C743" s="96" t="s">
        <v>234</v>
      </c>
      <c r="D743" s="96" t="s">
        <v>226</v>
      </c>
      <c r="E743" s="96"/>
      <c r="F743" s="97"/>
    </row>
    <row r="744" spans="1:6" ht="18" customHeight="1" x14ac:dyDescent="0.25">
      <c r="A744" s="162" t="s">
        <v>420</v>
      </c>
      <c r="B744" s="165" t="s">
        <v>245</v>
      </c>
      <c r="C744" s="145" t="s">
        <v>233</v>
      </c>
      <c r="D744" s="145"/>
      <c r="E744" s="93" t="s">
        <v>232</v>
      </c>
      <c r="F744" s="94"/>
    </row>
    <row r="745" spans="1:6" ht="18" customHeight="1" x14ac:dyDescent="0.25">
      <c r="A745" s="163"/>
      <c r="B745" s="166"/>
      <c r="C745" s="161" t="s">
        <v>226</v>
      </c>
      <c r="D745" s="161"/>
      <c r="E745" s="92" t="s">
        <v>227</v>
      </c>
      <c r="F745" s="95"/>
    </row>
    <row r="746" spans="1:6" ht="18" customHeight="1" x14ac:dyDescent="0.25">
      <c r="A746" s="163"/>
      <c r="B746" s="166"/>
      <c r="C746" s="92" t="s">
        <v>231</v>
      </c>
      <c r="D746" s="92" t="s">
        <v>232</v>
      </c>
      <c r="E746" s="92" t="s">
        <v>230</v>
      </c>
      <c r="F746" s="95"/>
    </row>
    <row r="747" spans="1:6" ht="18" customHeight="1" thickBot="1" x14ac:dyDescent="0.3">
      <c r="A747" s="164"/>
      <c r="B747" s="167"/>
      <c r="C747" s="96" t="s">
        <v>234</v>
      </c>
      <c r="D747" s="96" t="s">
        <v>227</v>
      </c>
      <c r="E747" s="96"/>
      <c r="F747" s="97"/>
    </row>
    <row r="748" spans="1:6" ht="18" customHeight="1" x14ac:dyDescent="0.25">
      <c r="A748" s="171" t="s">
        <v>421</v>
      </c>
      <c r="B748" s="174" t="s">
        <v>246</v>
      </c>
      <c r="C748" s="145" t="s">
        <v>233</v>
      </c>
      <c r="D748" s="145"/>
      <c r="E748" s="93" t="s">
        <v>228</v>
      </c>
      <c r="F748" s="94"/>
    </row>
    <row r="749" spans="1:6" ht="18" customHeight="1" x14ac:dyDescent="0.25">
      <c r="A749" s="172"/>
      <c r="B749" s="175"/>
      <c r="C749" s="161" t="s">
        <v>226</v>
      </c>
      <c r="D749" s="161"/>
      <c r="E749" s="92" t="s">
        <v>213</v>
      </c>
      <c r="F749" s="95"/>
    </row>
    <row r="750" spans="1:6" ht="18" customHeight="1" x14ac:dyDescent="0.25">
      <c r="A750" s="172"/>
      <c r="B750" s="175"/>
      <c r="C750" s="92" t="s">
        <v>231</v>
      </c>
      <c r="D750" s="92" t="s">
        <v>228</v>
      </c>
      <c r="E750" s="92" t="s">
        <v>230</v>
      </c>
      <c r="F750" s="95"/>
    </row>
    <row r="751" spans="1:6" ht="18" customHeight="1" thickBot="1" x14ac:dyDescent="0.3">
      <c r="A751" s="173"/>
      <c r="B751" s="176"/>
      <c r="C751" s="96" t="s">
        <v>234</v>
      </c>
      <c r="D751" s="96" t="s">
        <v>213</v>
      </c>
      <c r="E751" s="96"/>
      <c r="F751" s="97"/>
    </row>
    <row r="752" spans="1:6" ht="18" customHeight="1" x14ac:dyDescent="0.25">
      <c r="A752" s="177" t="s">
        <v>422</v>
      </c>
      <c r="B752" s="180" t="s">
        <v>241</v>
      </c>
      <c r="C752" s="145" t="s">
        <v>231</v>
      </c>
      <c r="D752" s="145"/>
      <c r="E752" s="93" t="s">
        <v>229</v>
      </c>
      <c r="F752" s="94"/>
    </row>
    <row r="753" spans="1:6" ht="18" customHeight="1" x14ac:dyDescent="0.25">
      <c r="A753" s="178"/>
      <c r="B753" s="181"/>
      <c r="C753" s="161" t="s">
        <v>228</v>
      </c>
      <c r="D753" s="161"/>
      <c r="E753" s="92" t="s">
        <v>235</v>
      </c>
      <c r="F753" s="95"/>
    </row>
    <row r="754" spans="1:6" ht="18" customHeight="1" x14ac:dyDescent="0.25">
      <c r="A754" s="178"/>
      <c r="B754" s="181"/>
      <c r="C754" s="161" t="s">
        <v>213</v>
      </c>
      <c r="D754" s="161"/>
      <c r="E754" s="92" t="s">
        <v>230</v>
      </c>
      <c r="F754" s="95"/>
    </row>
    <row r="755" spans="1:6" ht="18" customHeight="1" thickBot="1" x14ac:dyDescent="0.3">
      <c r="A755" s="179"/>
      <c r="B755" s="182"/>
      <c r="C755" s="96" t="s">
        <v>234</v>
      </c>
      <c r="D755" s="96" t="s">
        <v>229</v>
      </c>
      <c r="E755" s="96"/>
      <c r="F755" s="97"/>
    </row>
    <row r="756" spans="1:6" ht="18" customHeight="1" x14ac:dyDescent="0.25">
      <c r="A756" s="139" t="s">
        <v>423</v>
      </c>
      <c r="B756" s="142" t="s">
        <v>7</v>
      </c>
      <c r="C756" s="145" t="s">
        <v>229</v>
      </c>
      <c r="D756" s="145"/>
      <c r="E756" s="93"/>
      <c r="F756" s="94"/>
    </row>
    <row r="757" spans="1:6" ht="18" customHeight="1" x14ac:dyDescent="0.25">
      <c r="A757" s="140"/>
      <c r="B757" s="143"/>
      <c r="C757" s="161" t="s">
        <v>228</v>
      </c>
      <c r="D757" s="161"/>
      <c r="E757" s="92"/>
      <c r="F757" s="95"/>
    </row>
    <row r="758" spans="1:6" ht="18" customHeight="1" x14ac:dyDescent="0.25">
      <c r="A758" s="140"/>
      <c r="B758" s="143"/>
      <c r="C758" s="161" t="s">
        <v>230</v>
      </c>
      <c r="D758" s="161"/>
      <c r="E758" s="92"/>
      <c r="F758" s="95"/>
    </row>
    <row r="759" spans="1:6" ht="18" customHeight="1" thickBot="1" x14ac:dyDescent="0.3">
      <c r="A759" s="141"/>
      <c r="B759" s="144"/>
      <c r="C759" s="183" t="s">
        <v>213</v>
      </c>
      <c r="D759" s="183"/>
      <c r="E759" s="96"/>
      <c r="F759" s="97"/>
    </row>
    <row r="760" spans="1:6" ht="18" customHeight="1" x14ac:dyDescent="0.25">
      <c r="A760" s="146" t="s">
        <v>424</v>
      </c>
      <c r="B760" s="148" t="s">
        <v>8</v>
      </c>
      <c r="C760" s="145" t="s">
        <v>229</v>
      </c>
      <c r="D760" s="145"/>
      <c r="E760" s="93"/>
      <c r="F760" s="94"/>
    </row>
    <row r="761" spans="1:6" ht="18" customHeight="1" thickBot="1" x14ac:dyDescent="0.3">
      <c r="A761" s="147"/>
      <c r="B761" s="149"/>
      <c r="C761" s="183" t="s">
        <v>227</v>
      </c>
      <c r="D761" s="183"/>
      <c r="E761" s="96"/>
      <c r="F761" s="97"/>
    </row>
    <row r="762" spans="1:6" ht="18" customHeight="1" x14ac:dyDescent="0.25">
      <c r="B762" s="115" t="s">
        <v>242</v>
      </c>
      <c r="C762" s="150" t="s">
        <v>230</v>
      </c>
      <c r="D762" s="150"/>
      <c r="E762" s="150"/>
      <c r="F762" s="150"/>
    </row>
    <row r="765" spans="1:6" ht="18" customHeight="1" thickBot="1" x14ac:dyDescent="0.3">
      <c r="C765" s="113" t="s">
        <v>1</v>
      </c>
      <c r="D765" s="113" t="s">
        <v>2</v>
      </c>
      <c r="E765" s="113" t="s">
        <v>239</v>
      </c>
      <c r="F765" s="113" t="s">
        <v>240</v>
      </c>
    </row>
    <row r="766" spans="1:6" ht="18" customHeight="1" x14ac:dyDescent="0.25">
      <c r="A766" s="151" t="s">
        <v>425</v>
      </c>
      <c r="B766" s="154" t="s">
        <v>243</v>
      </c>
      <c r="C766" s="145" t="s">
        <v>226</v>
      </c>
      <c r="D766" s="145"/>
      <c r="E766" s="93"/>
      <c r="F766" s="94" t="s">
        <v>213</v>
      </c>
    </row>
    <row r="767" spans="1:6" ht="18" customHeight="1" x14ac:dyDescent="0.25">
      <c r="A767" s="152"/>
      <c r="B767" s="155"/>
      <c r="C767" s="157" t="s">
        <v>230</v>
      </c>
      <c r="D767" s="157"/>
      <c r="E767" s="120"/>
      <c r="F767" s="121"/>
    </row>
    <row r="768" spans="1:6" ht="18" customHeight="1" x14ac:dyDescent="0.25">
      <c r="A768" s="152"/>
      <c r="B768" s="155"/>
      <c r="C768" s="120" t="s">
        <v>228</v>
      </c>
      <c r="D768" s="120" t="s">
        <v>231</v>
      </c>
      <c r="E768" s="120"/>
      <c r="F768" s="121"/>
    </row>
    <row r="769" spans="1:6" ht="18" customHeight="1" thickBot="1" x14ac:dyDescent="0.3">
      <c r="A769" s="153"/>
      <c r="B769" s="156"/>
      <c r="C769" s="122" t="s">
        <v>213</v>
      </c>
      <c r="D769" s="122" t="s">
        <v>233</v>
      </c>
      <c r="E769" s="122"/>
      <c r="F769" s="123"/>
    </row>
    <row r="770" spans="1:6" ht="18" customHeight="1" x14ac:dyDescent="0.25">
      <c r="A770" s="168" t="s">
        <v>426</v>
      </c>
      <c r="B770" s="158" t="s">
        <v>244</v>
      </c>
      <c r="C770" s="145" t="s">
        <v>226</v>
      </c>
      <c r="D770" s="145"/>
      <c r="E770" s="93" t="s">
        <v>228</v>
      </c>
      <c r="F770" s="94"/>
    </row>
    <row r="771" spans="1:6" ht="18" customHeight="1" x14ac:dyDescent="0.25">
      <c r="A771" s="169"/>
      <c r="B771" s="159"/>
      <c r="C771" s="161" t="s">
        <v>230</v>
      </c>
      <c r="D771" s="161"/>
      <c r="E771" s="92"/>
      <c r="F771" s="95"/>
    </row>
    <row r="772" spans="1:6" ht="18" customHeight="1" x14ac:dyDescent="0.25">
      <c r="A772" s="169"/>
      <c r="B772" s="159"/>
      <c r="C772" s="92" t="s">
        <v>228</v>
      </c>
      <c r="D772" s="92" t="s">
        <v>231</v>
      </c>
      <c r="E772" s="92"/>
      <c r="F772" s="95"/>
    </row>
    <row r="773" spans="1:6" ht="18" customHeight="1" thickBot="1" x14ac:dyDescent="0.3">
      <c r="A773" s="170"/>
      <c r="B773" s="160"/>
      <c r="C773" s="96" t="s">
        <v>213</v>
      </c>
      <c r="D773" s="96" t="s">
        <v>233</v>
      </c>
      <c r="E773" s="96"/>
      <c r="F773" s="97"/>
    </row>
    <row r="774" spans="1:6" ht="18" customHeight="1" x14ac:dyDescent="0.25">
      <c r="A774" s="162" t="s">
        <v>427</v>
      </c>
      <c r="B774" s="165" t="s">
        <v>245</v>
      </c>
      <c r="C774" s="145" t="s">
        <v>231</v>
      </c>
      <c r="D774" s="145"/>
      <c r="E774" s="93" t="s">
        <v>226</v>
      </c>
      <c r="F774" s="94"/>
    </row>
    <row r="775" spans="1:6" ht="18" customHeight="1" x14ac:dyDescent="0.25">
      <c r="A775" s="163"/>
      <c r="B775" s="166"/>
      <c r="C775" s="161" t="s">
        <v>233</v>
      </c>
      <c r="D775" s="161"/>
      <c r="E775" s="92" t="s">
        <v>230</v>
      </c>
      <c r="F775" s="95"/>
    </row>
    <row r="776" spans="1:6" ht="18" customHeight="1" x14ac:dyDescent="0.25">
      <c r="A776" s="163"/>
      <c r="B776" s="166"/>
      <c r="C776" s="92" t="s">
        <v>228</v>
      </c>
      <c r="D776" s="92" t="s">
        <v>226</v>
      </c>
      <c r="E776" s="92"/>
      <c r="F776" s="95"/>
    </row>
    <row r="777" spans="1:6" ht="18" customHeight="1" thickBot="1" x14ac:dyDescent="0.3">
      <c r="A777" s="164"/>
      <c r="B777" s="167"/>
      <c r="C777" s="96" t="s">
        <v>213</v>
      </c>
      <c r="D777" s="96" t="s">
        <v>230</v>
      </c>
      <c r="E777" s="96"/>
      <c r="F777" s="97"/>
    </row>
    <row r="778" spans="1:6" ht="18" customHeight="1" x14ac:dyDescent="0.25">
      <c r="A778" s="171" t="s">
        <v>428</v>
      </c>
      <c r="B778" s="174" t="s">
        <v>246</v>
      </c>
      <c r="C778" s="145" t="s">
        <v>231</v>
      </c>
      <c r="D778" s="145"/>
      <c r="E778" s="93" t="s">
        <v>235</v>
      </c>
      <c r="F778" s="94"/>
    </row>
    <row r="779" spans="1:6" ht="18" customHeight="1" x14ac:dyDescent="0.25">
      <c r="A779" s="172"/>
      <c r="B779" s="175"/>
      <c r="C779" s="161" t="s">
        <v>233</v>
      </c>
      <c r="D779" s="161"/>
      <c r="E779" s="92" t="s">
        <v>227</v>
      </c>
      <c r="F779" s="95"/>
    </row>
    <row r="780" spans="1:6" ht="18" customHeight="1" x14ac:dyDescent="0.25">
      <c r="A780" s="172"/>
      <c r="B780" s="175"/>
      <c r="C780" s="92" t="s">
        <v>228</v>
      </c>
      <c r="D780" s="92" t="s">
        <v>235</v>
      </c>
      <c r="E780" s="92"/>
      <c r="F780" s="95"/>
    </row>
    <row r="781" spans="1:6" ht="18" customHeight="1" thickBot="1" x14ac:dyDescent="0.3">
      <c r="A781" s="173"/>
      <c r="B781" s="176"/>
      <c r="C781" s="96" t="s">
        <v>213</v>
      </c>
      <c r="D781" s="96" t="s">
        <v>227</v>
      </c>
      <c r="E781" s="96"/>
      <c r="F781" s="97"/>
    </row>
    <row r="782" spans="1:6" ht="18" customHeight="1" x14ac:dyDescent="0.25">
      <c r="A782" s="177" t="s">
        <v>429</v>
      </c>
      <c r="B782" s="180" t="s">
        <v>241</v>
      </c>
      <c r="C782" s="145" t="s">
        <v>235</v>
      </c>
      <c r="D782" s="145"/>
      <c r="E782" s="93" t="s">
        <v>232</v>
      </c>
      <c r="F782" s="94"/>
    </row>
    <row r="783" spans="1:6" ht="18" customHeight="1" x14ac:dyDescent="0.25">
      <c r="A783" s="178"/>
      <c r="B783" s="181"/>
      <c r="C783" s="161" t="s">
        <v>227</v>
      </c>
      <c r="D783" s="161"/>
      <c r="E783" s="92" t="s">
        <v>229</v>
      </c>
      <c r="F783" s="95"/>
    </row>
    <row r="784" spans="1:6" ht="18" customHeight="1" x14ac:dyDescent="0.25">
      <c r="A784" s="178"/>
      <c r="B784" s="181"/>
      <c r="C784" s="92" t="s">
        <v>228</v>
      </c>
      <c r="D784" s="92" t="s">
        <v>232</v>
      </c>
      <c r="E784" s="92"/>
      <c r="F784" s="95"/>
    </row>
    <row r="785" spans="1:6" ht="18" customHeight="1" thickBot="1" x14ac:dyDescent="0.3">
      <c r="A785" s="179"/>
      <c r="B785" s="182"/>
      <c r="C785" s="96" t="s">
        <v>213</v>
      </c>
      <c r="D785" s="96" t="s">
        <v>229</v>
      </c>
      <c r="E785" s="96"/>
      <c r="F785" s="97"/>
    </row>
    <row r="786" spans="1:6" ht="18" customHeight="1" x14ac:dyDescent="0.25">
      <c r="A786" s="139" t="s">
        <v>430</v>
      </c>
      <c r="B786" s="142" t="s">
        <v>7</v>
      </c>
      <c r="C786" s="145" t="s">
        <v>232</v>
      </c>
      <c r="D786" s="145"/>
      <c r="E786" s="93"/>
      <c r="F786" s="94"/>
    </row>
    <row r="787" spans="1:6" ht="18" customHeight="1" x14ac:dyDescent="0.25">
      <c r="A787" s="140"/>
      <c r="B787" s="143"/>
      <c r="C787" s="161" t="s">
        <v>229</v>
      </c>
      <c r="D787" s="161"/>
      <c r="E787" s="92"/>
      <c r="F787" s="95"/>
    </row>
    <row r="788" spans="1:6" ht="18" customHeight="1" x14ac:dyDescent="0.25">
      <c r="A788" s="140"/>
      <c r="B788" s="143"/>
      <c r="C788" s="161" t="s">
        <v>235</v>
      </c>
      <c r="D788" s="161"/>
      <c r="E788" s="92"/>
      <c r="F788" s="95"/>
    </row>
    <row r="789" spans="1:6" ht="18" customHeight="1" thickBot="1" x14ac:dyDescent="0.3">
      <c r="A789" s="141"/>
      <c r="B789" s="144"/>
      <c r="C789" s="183" t="s">
        <v>227</v>
      </c>
      <c r="D789" s="183"/>
      <c r="E789" s="96"/>
      <c r="F789" s="97"/>
    </row>
    <row r="790" spans="1:6" ht="18" customHeight="1" x14ac:dyDescent="0.25">
      <c r="A790" s="128"/>
      <c r="B790" s="128"/>
      <c r="C790" s="114"/>
      <c r="D790" s="114"/>
      <c r="E790" s="114"/>
      <c r="F790" s="114"/>
    </row>
    <row r="791" spans="1:6" ht="18" customHeight="1" x14ac:dyDescent="0.25">
      <c r="B791" s="115" t="s">
        <v>242</v>
      </c>
      <c r="C791" s="150"/>
      <c r="D791" s="150"/>
      <c r="E791" s="150"/>
      <c r="F791" s="150"/>
    </row>
  </sheetData>
  <sheetProtection sheet="1" objects="1" scenarios="1"/>
  <mergeCells count="841">
    <mergeCell ref="C11:D11"/>
    <mergeCell ref="C15:D15"/>
    <mergeCell ref="C14:D14"/>
    <mergeCell ref="C13:D13"/>
    <mergeCell ref="C12:D12"/>
    <mergeCell ref="A782:A785"/>
    <mergeCell ref="B782:B785"/>
    <mergeCell ref="C782:D782"/>
    <mergeCell ref="A786:A789"/>
    <mergeCell ref="B786:B789"/>
    <mergeCell ref="C786:D786"/>
    <mergeCell ref="C789:D789"/>
    <mergeCell ref="C434:F434"/>
    <mergeCell ref="A438:A441"/>
    <mergeCell ref="B438:B441"/>
    <mergeCell ref="C438:D438"/>
    <mergeCell ref="C439:D439"/>
    <mergeCell ref="A770:A773"/>
    <mergeCell ref="B770:B773"/>
    <mergeCell ref="C770:D770"/>
    <mergeCell ref="A774:A777"/>
    <mergeCell ref="B774:B777"/>
    <mergeCell ref="C774:D774"/>
    <mergeCell ref="A778:A781"/>
    <mergeCell ref="B778:B781"/>
    <mergeCell ref="C778:D778"/>
    <mergeCell ref="A526:A529"/>
    <mergeCell ref="B526:B529"/>
    <mergeCell ref="C527:D527"/>
    <mergeCell ref="A646:A649"/>
    <mergeCell ref="B646:B649"/>
    <mergeCell ref="C647:D647"/>
    <mergeCell ref="A650:A653"/>
    <mergeCell ref="B650:B653"/>
    <mergeCell ref="C650:D650"/>
    <mergeCell ref="A530:A533"/>
    <mergeCell ref="B530:B533"/>
    <mergeCell ref="C530:D530"/>
    <mergeCell ref="C573:D573"/>
    <mergeCell ref="C577:D577"/>
    <mergeCell ref="C578:D578"/>
    <mergeCell ref="C581:D581"/>
    <mergeCell ref="C556:D556"/>
    <mergeCell ref="A560:A563"/>
    <mergeCell ref="C561:D561"/>
    <mergeCell ref="C562:D562"/>
    <mergeCell ref="C565:D565"/>
    <mergeCell ref="C566:D566"/>
    <mergeCell ref="C536:D536"/>
    <mergeCell ref="C539:D539"/>
    <mergeCell ref="A654:A657"/>
    <mergeCell ref="B654:B657"/>
    <mergeCell ref="A658:A661"/>
    <mergeCell ref="B658:B661"/>
    <mergeCell ref="C202:D202"/>
    <mergeCell ref="C240:D240"/>
    <mergeCell ref="C244:D244"/>
    <mergeCell ref="C248:D248"/>
    <mergeCell ref="A288:A291"/>
    <mergeCell ref="B288:B291"/>
    <mergeCell ref="C382:D382"/>
    <mergeCell ref="C386:D386"/>
    <mergeCell ref="C420:D420"/>
    <mergeCell ref="C424:D424"/>
    <mergeCell ref="C428:D428"/>
    <mergeCell ref="C431:D431"/>
    <mergeCell ref="C432:D432"/>
    <mergeCell ref="C442:D442"/>
    <mergeCell ref="A442:A445"/>
    <mergeCell ref="A466:A469"/>
    <mergeCell ref="B466:B469"/>
    <mergeCell ref="C337:D337"/>
    <mergeCell ref="C338:D338"/>
    <mergeCell ref="C300:D300"/>
    <mergeCell ref="C640:D640"/>
    <mergeCell ref="C467:D467"/>
    <mergeCell ref="C522:F522"/>
    <mergeCell ref="C779:D779"/>
    <mergeCell ref="C651:D651"/>
    <mergeCell ref="C655:D655"/>
    <mergeCell ref="C659:D659"/>
    <mergeCell ref="C689:D689"/>
    <mergeCell ref="C693:D693"/>
    <mergeCell ref="C681:D681"/>
    <mergeCell ref="C685:D685"/>
    <mergeCell ref="C663:D663"/>
    <mergeCell ref="C667:D667"/>
    <mergeCell ref="C668:D668"/>
    <mergeCell ref="C671:D671"/>
    <mergeCell ref="C654:D654"/>
    <mergeCell ref="C658:D658"/>
    <mergeCell ref="C526:D526"/>
    <mergeCell ref="C520:D520"/>
    <mergeCell ref="C528:D528"/>
    <mergeCell ref="C529:D529"/>
    <mergeCell ref="C642:F642"/>
    <mergeCell ref="C123:D123"/>
    <mergeCell ref="C124:D124"/>
    <mergeCell ref="C127:D127"/>
    <mergeCell ref="C130:D130"/>
    <mergeCell ref="C164:F164"/>
    <mergeCell ref="C783:D783"/>
    <mergeCell ref="C787:D787"/>
    <mergeCell ref="C788:D788"/>
    <mergeCell ref="C771:D771"/>
    <mergeCell ref="C753:D753"/>
    <mergeCell ref="C754:D754"/>
    <mergeCell ref="C757:D757"/>
    <mergeCell ref="C758:D758"/>
    <mergeCell ref="C761:D761"/>
    <mergeCell ref="C756:D756"/>
    <mergeCell ref="C766:D766"/>
    <mergeCell ref="C775:D775"/>
    <mergeCell ref="C760:D760"/>
    <mergeCell ref="C759:D759"/>
    <mergeCell ref="C304:D304"/>
    <mergeCell ref="C308:D308"/>
    <mergeCell ref="C294:D294"/>
    <mergeCell ref="C298:D298"/>
    <mergeCell ref="C646:D646"/>
    <mergeCell ref="C396:D396"/>
    <mergeCell ref="C400:D400"/>
    <mergeCell ref="C451:D451"/>
    <mergeCell ref="C426:D426"/>
    <mergeCell ref="C430:D430"/>
    <mergeCell ref="C550:D550"/>
    <mergeCell ref="C119:D119"/>
    <mergeCell ref="C218:D218"/>
    <mergeCell ref="C221:D221"/>
    <mergeCell ref="C172:D172"/>
    <mergeCell ref="C131:D131"/>
    <mergeCell ref="C132:D132"/>
    <mergeCell ref="C232:D232"/>
    <mergeCell ref="C206:D206"/>
    <mergeCell ref="C210:D210"/>
    <mergeCell ref="C214:D214"/>
    <mergeCell ref="C222:D222"/>
    <mergeCell ref="C161:D161"/>
    <mergeCell ref="C162:D162"/>
    <mergeCell ref="C184:D184"/>
    <mergeCell ref="C188:D188"/>
    <mergeCell ref="C145:D145"/>
    <mergeCell ref="C146:D146"/>
    <mergeCell ref="C135:D135"/>
    <mergeCell ref="B416:B419"/>
    <mergeCell ref="C417:D417"/>
    <mergeCell ref="C444:D444"/>
    <mergeCell ref="C452:D452"/>
    <mergeCell ref="A450:A453"/>
    <mergeCell ref="B450:B453"/>
    <mergeCell ref="C543:D543"/>
    <mergeCell ref="C547:D547"/>
    <mergeCell ref="C531:D531"/>
    <mergeCell ref="C535:D535"/>
    <mergeCell ref="A470:A473"/>
    <mergeCell ref="B470:B473"/>
    <mergeCell ref="C470:D470"/>
    <mergeCell ref="A474:A477"/>
    <mergeCell ref="B474:B477"/>
    <mergeCell ref="C474:D474"/>
    <mergeCell ref="C446:D446"/>
    <mergeCell ref="C450:D450"/>
    <mergeCell ref="C454:D454"/>
    <mergeCell ref="C458:D458"/>
    <mergeCell ref="C461:D461"/>
    <mergeCell ref="C466:D466"/>
    <mergeCell ref="C471:D471"/>
    <mergeCell ref="C475:D475"/>
    <mergeCell ref="C253:D253"/>
    <mergeCell ref="C272:D272"/>
    <mergeCell ref="A258:A261"/>
    <mergeCell ref="C283:D283"/>
    <mergeCell ref="C278:D278"/>
    <mergeCell ref="C236:D236"/>
    <mergeCell ref="C282:D282"/>
    <mergeCell ref="C266:D266"/>
    <mergeCell ref="C270:D270"/>
    <mergeCell ref="C274:D274"/>
    <mergeCell ref="C281:D281"/>
    <mergeCell ref="C249:D249"/>
    <mergeCell ref="A252:A253"/>
    <mergeCell ref="B252:B253"/>
    <mergeCell ref="A274:A277"/>
    <mergeCell ref="B274:B277"/>
    <mergeCell ref="C275:D275"/>
    <mergeCell ref="A278:A281"/>
    <mergeCell ref="B278:B281"/>
    <mergeCell ref="C279:D279"/>
    <mergeCell ref="A88:A91"/>
    <mergeCell ref="B88:B91"/>
    <mergeCell ref="C88:D88"/>
    <mergeCell ref="A92:A95"/>
    <mergeCell ref="B92:B95"/>
    <mergeCell ref="C92:D92"/>
    <mergeCell ref="A96:A99"/>
    <mergeCell ref="B96:B99"/>
    <mergeCell ref="A114:A117"/>
    <mergeCell ref="B114:B117"/>
    <mergeCell ref="C101:D101"/>
    <mergeCell ref="C102:D102"/>
    <mergeCell ref="C103:D103"/>
    <mergeCell ref="C104:D104"/>
    <mergeCell ref="C105:D105"/>
    <mergeCell ref="C89:D89"/>
    <mergeCell ref="C93:D93"/>
    <mergeCell ref="C94:D94"/>
    <mergeCell ref="C97:D97"/>
    <mergeCell ref="C111:D111"/>
    <mergeCell ref="C115:D115"/>
    <mergeCell ref="C96:D96"/>
    <mergeCell ref="A100:A103"/>
    <mergeCell ref="B100:B103"/>
    <mergeCell ref="A7:A9"/>
    <mergeCell ref="B7:B9"/>
    <mergeCell ref="C51:D51"/>
    <mergeCell ref="C55:D55"/>
    <mergeCell ref="C59:D59"/>
    <mergeCell ref="C63:D63"/>
    <mergeCell ref="C75:D75"/>
    <mergeCell ref="C81:D81"/>
    <mergeCell ref="C85:D85"/>
    <mergeCell ref="A84:A87"/>
    <mergeCell ref="B84:B87"/>
    <mergeCell ref="C84:D84"/>
    <mergeCell ref="C7:D7"/>
    <mergeCell ref="C8:D8"/>
    <mergeCell ref="C41:D41"/>
    <mergeCell ref="C42:D42"/>
    <mergeCell ref="C44:D44"/>
    <mergeCell ref="C45:D45"/>
    <mergeCell ref="C67:D67"/>
    <mergeCell ref="C71:D71"/>
    <mergeCell ref="C72:D72"/>
    <mergeCell ref="C73:D73"/>
    <mergeCell ref="C74:D74"/>
    <mergeCell ref="A20:A23"/>
    <mergeCell ref="C736:D736"/>
    <mergeCell ref="C741:D741"/>
    <mergeCell ref="C745:D745"/>
    <mergeCell ref="C749:D749"/>
    <mergeCell ref="C676:D676"/>
    <mergeCell ref="C697:D697"/>
    <mergeCell ref="C698:D698"/>
    <mergeCell ref="C701:D701"/>
    <mergeCell ref="C706:D706"/>
    <mergeCell ref="C711:D711"/>
    <mergeCell ref="C715:D715"/>
    <mergeCell ref="C727:D727"/>
    <mergeCell ref="C728:D728"/>
    <mergeCell ref="C731:D731"/>
    <mergeCell ref="C719:D719"/>
    <mergeCell ref="C723:D723"/>
    <mergeCell ref="C702:F702"/>
    <mergeCell ref="C730:D730"/>
    <mergeCell ref="B20:B23"/>
    <mergeCell ref="C20:D20"/>
    <mergeCell ref="C21:D21"/>
    <mergeCell ref="A24:A27"/>
    <mergeCell ref="B24:B27"/>
    <mergeCell ref="C24:D24"/>
    <mergeCell ref="C25:D25"/>
    <mergeCell ref="A28:A31"/>
    <mergeCell ref="B28:B31"/>
    <mergeCell ref="C28:D28"/>
    <mergeCell ref="C29:D29"/>
    <mergeCell ref="A32:A35"/>
    <mergeCell ref="B32:B35"/>
    <mergeCell ref="C32:D32"/>
    <mergeCell ref="C33:D33"/>
    <mergeCell ref="A36:A39"/>
    <mergeCell ref="B36:B39"/>
    <mergeCell ref="C36:D36"/>
    <mergeCell ref="A40:A43"/>
    <mergeCell ref="B40:B43"/>
    <mergeCell ref="C40:D40"/>
    <mergeCell ref="C37:D37"/>
    <mergeCell ref="A44:A45"/>
    <mergeCell ref="B44:B45"/>
    <mergeCell ref="C46:F46"/>
    <mergeCell ref="A50:A53"/>
    <mergeCell ref="B50:B53"/>
    <mergeCell ref="C50:D50"/>
    <mergeCell ref="A54:A57"/>
    <mergeCell ref="B54:B57"/>
    <mergeCell ref="C54:D54"/>
    <mergeCell ref="A58:A61"/>
    <mergeCell ref="B58:B61"/>
    <mergeCell ref="C58:D58"/>
    <mergeCell ref="A62:A65"/>
    <mergeCell ref="B62:B65"/>
    <mergeCell ref="C62:D62"/>
    <mergeCell ref="A66:A69"/>
    <mergeCell ref="B66:B69"/>
    <mergeCell ref="C66:D66"/>
    <mergeCell ref="A70:A73"/>
    <mergeCell ref="B70:B73"/>
    <mergeCell ref="C70:D70"/>
    <mergeCell ref="A74:A75"/>
    <mergeCell ref="B74:B75"/>
    <mergeCell ref="C76:F76"/>
    <mergeCell ref="A80:A83"/>
    <mergeCell ref="B80:B83"/>
    <mergeCell ref="C80:D80"/>
    <mergeCell ref="C100:D100"/>
    <mergeCell ref="A104:A105"/>
    <mergeCell ref="B104:B105"/>
    <mergeCell ref="C106:F106"/>
    <mergeCell ref="A110:A113"/>
    <mergeCell ref="B110:B113"/>
    <mergeCell ref="C110:D110"/>
    <mergeCell ref="A146:A149"/>
    <mergeCell ref="B146:B149"/>
    <mergeCell ref="C147:D147"/>
    <mergeCell ref="C114:D114"/>
    <mergeCell ref="A118:A121"/>
    <mergeCell ref="B118:B121"/>
    <mergeCell ref="C118:D118"/>
    <mergeCell ref="A122:A125"/>
    <mergeCell ref="B122:B125"/>
    <mergeCell ref="C122:D122"/>
    <mergeCell ref="A126:A129"/>
    <mergeCell ref="B126:B129"/>
    <mergeCell ref="C126:D126"/>
    <mergeCell ref="C133:D133"/>
    <mergeCell ref="C134:D134"/>
    <mergeCell ref="A130:A133"/>
    <mergeCell ref="B130:B133"/>
    <mergeCell ref="A134:A135"/>
    <mergeCell ref="B134:B135"/>
    <mergeCell ref="C136:F136"/>
    <mergeCell ref="A140:A143"/>
    <mergeCell ref="B140:B143"/>
    <mergeCell ref="C140:D140"/>
    <mergeCell ref="C144:D144"/>
    <mergeCell ref="A144:A145"/>
    <mergeCell ref="B144:B145"/>
    <mergeCell ref="C141:D141"/>
    <mergeCell ref="C194:F194"/>
    <mergeCell ref="A168:A171"/>
    <mergeCell ref="B168:B171"/>
    <mergeCell ref="C168:D168"/>
    <mergeCell ref="C169:D169"/>
    <mergeCell ref="A172:A175"/>
    <mergeCell ref="B172:B175"/>
    <mergeCell ref="C173:D173"/>
    <mergeCell ref="C152:D152"/>
    <mergeCell ref="C160:D160"/>
    <mergeCell ref="A150:A153"/>
    <mergeCell ref="B150:B153"/>
    <mergeCell ref="C151:D151"/>
    <mergeCell ref="A154:A157"/>
    <mergeCell ref="B154:B157"/>
    <mergeCell ref="C155:D155"/>
    <mergeCell ref="A158:A161"/>
    <mergeCell ref="B158:B161"/>
    <mergeCell ref="C159:D159"/>
    <mergeCell ref="A162:A163"/>
    <mergeCell ref="B162:B163"/>
    <mergeCell ref="C150:D150"/>
    <mergeCell ref="C154:D154"/>
    <mergeCell ref="C158:D158"/>
    <mergeCell ref="C193:D193"/>
    <mergeCell ref="C191:D191"/>
    <mergeCell ref="C192:D192"/>
    <mergeCell ref="C176:D176"/>
    <mergeCell ref="C180:D180"/>
    <mergeCell ref="C190:D190"/>
    <mergeCell ref="A188:A191"/>
    <mergeCell ref="B188:B191"/>
    <mergeCell ref="C189:D189"/>
    <mergeCell ref="A192:A193"/>
    <mergeCell ref="B192:B193"/>
    <mergeCell ref="A176:A179"/>
    <mergeCell ref="B176:B179"/>
    <mergeCell ref="C177:D177"/>
    <mergeCell ref="A180:A183"/>
    <mergeCell ref="B180:B183"/>
    <mergeCell ref="C181:D181"/>
    <mergeCell ref="A184:A187"/>
    <mergeCell ref="B184:B187"/>
    <mergeCell ref="C185:D185"/>
    <mergeCell ref="A198:A201"/>
    <mergeCell ref="B198:B201"/>
    <mergeCell ref="C198:D198"/>
    <mergeCell ref="C199:D199"/>
    <mergeCell ref="C220:D220"/>
    <mergeCell ref="A218:A221"/>
    <mergeCell ref="B218:B221"/>
    <mergeCell ref="C219:D219"/>
    <mergeCell ref="A222:A223"/>
    <mergeCell ref="B222:B223"/>
    <mergeCell ref="A202:A205"/>
    <mergeCell ref="B202:B205"/>
    <mergeCell ref="C203:D203"/>
    <mergeCell ref="A240:A243"/>
    <mergeCell ref="B240:B243"/>
    <mergeCell ref="C241:D241"/>
    <mergeCell ref="C251:D251"/>
    <mergeCell ref="C252:D252"/>
    <mergeCell ref="C250:D250"/>
    <mergeCell ref="A244:A247"/>
    <mergeCell ref="B244:B247"/>
    <mergeCell ref="C245:D245"/>
    <mergeCell ref="A248:A251"/>
    <mergeCell ref="B248:B251"/>
    <mergeCell ref="C314:F314"/>
    <mergeCell ref="A318:A321"/>
    <mergeCell ref="B318:B321"/>
    <mergeCell ref="C318:D318"/>
    <mergeCell ref="C319:D319"/>
    <mergeCell ref="C276:D276"/>
    <mergeCell ref="C280:D280"/>
    <mergeCell ref="A282:A283"/>
    <mergeCell ref="B282:B283"/>
    <mergeCell ref="C284:F284"/>
    <mergeCell ref="C292:D292"/>
    <mergeCell ref="C296:D296"/>
    <mergeCell ref="C311:D311"/>
    <mergeCell ref="C312:D312"/>
    <mergeCell ref="C313:D313"/>
    <mergeCell ref="C310:D310"/>
    <mergeCell ref="A304:A307"/>
    <mergeCell ref="B304:B307"/>
    <mergeCell ref="C305:D305"/>
    <mergeCell ref="A308:A311"/>
    <mergeCell ref="B308:B311"/>
    <mergeCell ref="C309:D309"/>
    <mergeCell ref="A312:A313"/>
    <mergeCell ref="B312:B313"/>
    <mergeCell ref="A352:A355"/>
    <mergeCell ref="B352:B355"/>
    <mergeCell ref="C353:D353"/>
    <mergeCell ref="C328:D328"/>
    <mergeCell ref="C336:D336"/>
    <mergeCell ref="A322:A325"/>
    <mergeCell ref="B322:B325"/>
    <mergeCell ref="C323:D323"/>
    <mergeCell ref="A326:A329"/>
    <mergeCell ref="B326:B329"/>
    <mergeCell ref="C327:D327"/>
    <mergeCell ref="A330:A333"/>
    <mergeCell ref="B330:B333"/>
    <mergeCell ref="C331:D331"/>
    <mergeCell ref="A334:A337"/>
    <mergeCell ref="B334:B337"/>
    <mergeCell ref="C335:D335"/>
    <mergeCell ref="C352:D352"/>
    <mergeCell ref="C330:D330"/>
    <mergeCell ref="C322:D322"/>
    <mergeCell ref="C341:D341"/>
    <mergeCell ref="C342:D342"/>
    <mergeCell ref="C326:D326"/>
    <mergeCell ref="C334:D334"/>
    <mergeCell ref="C340:D340"/>
    <mergeCell ref="A338:A341"/>
    <mergeCell ref="B338:B341"/>
    <mergeCell ref="C339:D339"/>
    <mergeCell ref="A342:A343"/>
    <mergeCell ref="B342:B343"/>
    <mergeCell ref="C344:F344"/>
    <mergeCell ref="A348:A351"/>
    <mergeCell ref="B348:B351"/>
    <mergeCell ref="C348:D348"/>
    <mergeCell ref="C349:D349"/>
    <mergeCell ref="C362:D362"/>
    <mergeCell ref="A356:A359"/>
    <mergeCell ref="B356:B359"/>
    <mergeCell ref="C357:D357"/>
    <mergeCell ref="A360:A363"/>
    <mergeCell ref="B360:B363"/>
    <mergeCell ref="C361:D361"/>
    <mergeCell ref="A364:A367"/>
    <mergeCell ref="B364:B367"/>
    <mergeCell ref="C365:D365"/>
    <mergeCell ref="C363:D363"/>
    <mergeCell ref="C364:D364"/>
    <mergeCell ref="C356:D356"/>
    <mergeCell ref="C360:D360"/>
    <mergeCell ref="C370:D370"/>
    <mergeCell ref="C380:D380"/>
    <mergeCell ref="A368:A371"/>
    <mergeCell ref="B368:B371"/>
    <mergeCell ref="C369:D369"/>
    <mergeCell ref="A372:A373"/>
    <mergeCell ref="B372:B373"/>
    <mergeCell ref="C374:F374"/>
    <mergeCell ref="A378:A381"/>
    <mergeCell ref="B378:B381"/>
    <mergeCell ref="C378:D378"/>
    <mergeCell ref="C379:D379"/>
    <mergeCell ref="C373:D373"/>
    <mergeCell ref="C368:D368"/>
    <mergeCell ref="C371:D371"/>
    <mergeCell ref="C372:D372"/>
    <mergeCell ref="C384:D384"/>
    <mergeCell ref="C388:D388"/>
    <mergeCell ref="A382:A385"/>
    <mergeCell ref="B382:B385"/>
    <mergeCell ref="C383:D383"/>
    <mergeCell ref="A386:A389"/>
    <mergeCell ref="B386:B389"/>
    <mergeCell ref="C387:D387"/>
    <mergeCell ref="A390:A393"/>
    <mergeCell ref="B390:B393"/>
    <mergeCell ref="C391:D391"/>
    <mergeCell ref="A394:A397"/>
    <mergeCell ref="B394:B397"/>
    <mergeCell ref="C395:D395"/>
    <mergeCell ref="C416:D416"/>
    <mergeCell ref="C412:D412"/>
    <mergeCell ref="C390:D390"/>
    <mergeCell ref="C394:D394"/>
    <mergeCell ref="C398:D398"/>
    <mergeCell ref="C401:D401"/>
    <mergeCell ref="C402:D402"/>
    <mergeCell ref="A402:A403"/>
    <mergeCell ref="B402:B403"/>
    <mergeCell ref="C404:F404"/>
    <mergeCell ref="A408:A411"/>
    <mergeCell ref="B408:B411"/>
    <mergeCell ref="C408:D408"/>
    <mergeCell ref="C409:D409"/>
    <mergeCell ref="A412:A415"/>
    <mergeCell ref="B412:B415"/>
    <mergeCell ref="C413:D413"/>
    <mergeCell ref="A398:A401"/>
    <mergeCell ref="B398:B401"/>
    <mergeCell ref="C399:D399"/>
    <mergeCell ref="A416:A419"/>
    <mergeCell ref="A420:A423"/>
    <mergeCell ref="B420:B423"/>
    <mergeCell ref="C421:D421"/>
    <mergeCell ref="A424:A427"/>
    <mergeCell ref="B424:B427"/>
    <mergeCell ref="C425:D425"/>
    <mergeCell ref="A428:A431"/>
    <mergeCell ref="B428:B431"/>
    <mergeCell ref="C429:D429"/>
    <mergeCell ref="A432:A433"/>
    <mergeCell ref="B432:B433"/>
    <mergeCell ref="C440:D440"/>
    <mergeCell ref="C433:D433"/>
    <mergeCell ref="C492:F492"/>
    <mergeCell ref="C456:D456"/>
    <mergeCell ref="C460:D460"/>
    <mergeCell ref="A454:A457"/>
    <mergeCell ref="B454:B457"/>
    <mergeCell ref="C455:D455"/>
    <mergeCell ref="C459:D459"/>
    <mergeCell ref="A458:A459"/>
    <mergeCell ref="B458:B459"/>
    <mergeCell ref="A460:A461"/>
    <mergeCell ref="B460:B461"/>
    <mergeCell ref="C462:F462"/>
    <mergeCell ref="A478:A481"/>
    <mergeCell ref="B478:B481"/>
    <mergeCell ref="C478:D478"/>
    <mergeCell ref="C483:D483"/>
    <mergeCell ref="C487:D487"/>
    <mergeCell ref="C488:D488"/>
    <mergeCell ref="C491:D491"/>
    <mergeCell ref="C479:D479"/>
    <mergeCell ref="C509:D509"/>
    <mergeCell ref="A508:A511"/>
    <mergeCell ref="B508:B511"/>
    <mergeCell ref="C508:D508"/>
    <mergeCell ref="A482:A485"/>
    <mergeCell ref="B482:B485"/>
    <mergeCell ref="C482:D482"/>
    <mergeCell ref="A486:A489"/>
    <mergeCell ref="B486:B489"/>
    <mergeCell ref="C486:D486"/>
    <mergeCell ref="C490:D490"/>
    <mergeCell ref="C489:D489"/>
    <mergeCell ref="A490:A491"/>
    <mergeCell ref="B490:B491"/>
    <mergeCell ref="A500:A503"/>
    <mergeCell ref="B500:B503"/>
    <mergeCell ref="C500:D500"/>
    <mergeCell ref="A504:A507"/>
    <mergeCell ref="B504:B507"/>
    <mergeCell ref="C504:D504"/>
    <mergeCell ref="C498:D498"/>
    <mergeCell ref="A496:A499"/>
    <mergeCell ref="B496:B499"/>
    <mergeCell ref="C497:D497"/>
    <mergeCell ref="C496:D496"/>
    <mergeCell ref="C501:D501"/>
    <mergeCell ref="C505:D505"/>
    <mergeCell ref="C506:D506"/>
    <mergeCell ref="A512:A515"/>
    <mergeCell ref="B512:B515"/>
    <mergeCell ref="C512:D512"/>
    <mergeCell ref="A516:A519"/>
    <mergeCell ref="B516:B519"/>
    <mergeCell ref="C516:D516"/>
    <mergeCell ref="C519:D519"/>
    <mergeCell ref="A534:A537"/>
    <mergeCell ref="B534:B537"/>
    <mergeCell ref="C534:D534"/>
    <mergeCell ref="A520:A521"/>
    <mergeCell ref="B520:B521"/>
    <mergeCell ref="C517:D517"/>
    <mergeCell ref="C518:D518"/>
    <mergeCell ref="C513:D513"/>
    <mergeCell ref="C521:D521"/>
    <mergeCell ref="A538:A541"/>
    <mergeCell ref="B538:B541"/>
    <mergeCell ref="C538:D538"/>
    <mergeCell ref="A542:A545"/>
    <mergeCell ref="B542:B545"/>
    <mergeCell ref="C542:D542"/>
    <mergeCell ref="C537:D537"/>
    <mergeCell ref="A546:A549"/>
    <mergeCell ref="B546:B549"/>
    <mergeCell ref="C546:D546"/>
    <mergeCell ref="C549:D549"/>
    <mergeCell ref="C548:D548"/>
    <mergeCell ref="A550:A551"/>
    <mergeCell ref="B550:B551"/>
    <mergeCell ref="C552:F552"/>
    <mergeCell ref="A556:A559"/>
    <mergeCell ref="B556:B559"/>
    <mergeCell ref="C557:D557"/>
    <mergeCell ref="B560:B563"/>
    <mergeCell ref="C560:D560"/>
    <mergeCell ref="A564:A567"/>
    <mergeCell ref="B564:B567"/>
    <mergeCell ref="C564:D564"/>
    <mergeCell ref="C551:D551"/>
    <mergeCell ref="A568:A571"/>
    <mergeCell ref="B568:B571"/>
    <mergeCell ref="C568:D568"/>
    <mergeCell ref="A572:A575"/>
    <mergeCell ref="B572:B575"/>
    <mergeCell ref="C572:D572"/>
    <mergeCell ref="A586:A589"/>
    <mergeCell ref="B586:B589"/>
    <mergeCell ref="C587:D587"/>
    <mergeCell ref="A576:A579"/>
    <mergeCell ref="B576:B579"/>
    <mergeCell ref="C576:D576"/>
    <mergeCell ref="C580:D580"/>
    <mergeCell ref="A580:A581"/>
    <mergeCell ref="B580:B581"/>
    <mergeCell ref="C582:F582"/>
    <mergeCell ref="C586:D586"/>
    <mergeCell ref="C569:D569"/>
    <mergeCell ref="C612:F612"/>
    <mergeCell ref="A590:A593"/>
    <mergeCell ref="B590:B593"/>
    <mergeCell ref="C590:D590"/>
    <mergeCell ref="A594:A597"/>
    <mergeCell ref="B594:B597"/>
    <mergeCell ref="C594:D594"/>
    <mergeCell ref="A598:A601"/>
    <mergeCell ref="B598:B601"/>
    <mergeCell ref="C598:D598"/>
    <mergeCell ref="C611:D611"/>
    <mergeCell ref="C599:D599"/>
    <mergeCell ref="C603:D603"/>
    <mergeCell ref="C604:D604"/>
    <mergeCell ref="C607:D607"/>
    <mergeCell ref="C608:D608"/>
    <mergeCell ref="C595:D595"/>
    <mergeCell ref="C591:D591"/>
    <mergeCell ref="A602:A605"/>
    <mergeCell ref="B602:B605"/>
    <mergeCell ref="C602:D602"/>
    <mergeCell ref="A606:A609"/>
    <mergeCell ref="B606:B609"/>
    <mergeCell ref="C606:D606"/>
    <mergeCell ref="C610:D610"/>
    <mergeCell ref="C609:D609"/>
    <mergeCell ref="A610:A611"/>
    <mergeCell ref="B610:B611"/>
    <mergeCell ref="A640:A641"/>
    <mergeCell ref="B640:B641"/>
    <mergeCell ref="A620:A623"/>
    <mergeCell ref="B620:B623"/>
    <mergeCell ref="C620:D620"/>
    <mergeCell ref="A624:A627"/>
    <mergeCell ref="B624:B627"/>
    <mergeCell ref="C624:D624"/>
    <mergeCell ref="A616:A619"/>
    <mergeCell ref="B616:B619"/>
    <mergeCell ref="C617:D617"/>
    <mergeCell ref="C637:D637"/>
    <mergeCell ref="C638:D638"/>
    <mergeCell ref="C621:D621"/>
    <mergeCell ref="C616:D616"/>
    <mergeCell ref="C641:D641"/>
    <mergeCell ref="C629:D629"/>
    <mergeCell ref="C633:D633"/>
    <mergeCell ref="C625:D625"/>
    <mergeCell ref="A628:A631"/>
    <mergeCell ref="B628:B631"/>
    <mergeCell ref="C628:D628"/>
    <mergeCell ref="A632:A635"/>
    <mergeCell ref="B632:B635"/>
    <mergeCell ref="C632:D632"/>
    <mergeCell ref="A636:A639"/>
    <mergeCell ref="B636:B639"/>
    <mergeCell ref="C636:D636"/>
    <mergeCell ref="C639:D639"/>
    <mergeCell ref="A676:A679"/>
    <mergeCell ref="B676:B679"/>
    <mergeCell ref="C677:D677"/>
    <mergeCell ref="A662:A665"/>
    <mergeCell ref="B662:B665"/>
    <mergeCell ref="C662:D662"/>
    <mergeCell ref="A666:A669"/>
    <mergeCell ref="B666:B669"/>
    <mergeCell ref="C666:D666"/>
    <mergeCell ref="C670:D670"/>
    <mergeCell ref="C669:D669"/>
    <mergeCell ref="A670:A671"/>
    <mergeCell ref="B670:B671"/>
    <mergeCell ref="C672:F672"/>
    <mergeCell ref="A680:A683"/>
    <mergeCell ref="B680:B683"/>
    <mergeCell ref="C680:D680"/>
    <mergeCell ref="A684:A687"/>
    <mergeCell ref="B684:B687"/>
    <mergeCell ref="C684:D684"/>
    <mergeCell ref="A688:A691"/>
    <mergeCell ref="B688:B691"/>
    <mergeCell ref="C688:D688"/>
    <mergeCell ref="C710:D710"/>
    <mergeCell ref="A714:A717"/>
    <mergeCell ref="B714:B717"/>
    <mergeCell ref="C714:D714"/>
    <mergeCell ref="A706:A709"/>
    <mergeCell ref="B706:B709"/>
    <mergeCell ref="C707:D707"/>
    <mergeCell ref="A692:A695"/>
    <mergeCell ref="B692:B695"/>
    <mergeCell ref="C692:D692"/>
    <mergeCell ref="A696:A699"/>
    <mergeCell ref="B696:B699"/>
    <mergeCell ref="C696:D696"/>
    <mergeCell ref="C700:D700"/>
    <mergeCell ref="C699:D699"/>
    <mergeCell ref="A700:A701"/>
    <mergeCell ref="B700:B701"/>
    <mergeCell ref="A266:A269"/>
    <mergeCell ref="B266:B269"/>
    <mergeCell ref="C267:D267"/>
    <mergeCell ref="C262:D262"/>
    <mergeCell ref="A270:A273"/>
    <mergeCell ref="B270:B273"/>
    <mergeCell ref="C271:D271"/>
    <mergeCell ref="A744:A747"/>
    <mergeCell ref="B744:B747"/>
    <mergeCell ref="C744:D744"/>
    <mergeCell ref="A740:A743"/>
    <mergeCell ref="B740:B743"/>
    <mergeCell ref="C740:D740"/>
    <mergeCell ref="C729:D729"/>
    <mergeCell ref="A730:A731"/>
    <mergeCell ref="B730:B731"/>
    <mergeCell ref="C732:F732"/>
    <mergeCell ref="A736:A739"/>
    <mergeCell ref="B736:B739"/>
    <mergeCell ref="C737:D737"/>
    <mergeCell ref="A718:A721"/>
    <mergeCell ref="B718:B721"/>
    <mergeCell ref="C718:D718"/>
    <mergeCell ref="A722:A725"/>
    <mergeCell ref="B210:B213"/>
    <mergeCell ref="C211:D211"/>
    <mergeCell ref="A214:A217"/>
    <mergeCell ref="B214:B217"/>
    <mergeCell ref="C215:D215"/>
    <mergeCell ref="B258:B261"/>
    <mergeCell ref="C258:D258"/>
    <mergeCell ref="C259:D259"/>
    <mergeCell ref="A262:A265"/>
    <mergeCell ref="B262:B265"/>
    <mergeCell ref="C263:D263"/>
    <mergeCell ref="C224:F224"/>
    <mergeCell ref="A228:A231"/>
    <mergeCell ref="B228:B231"/>
    <mergeCell ref="C228:D228"/>
    <mergeCell ref="C229:D229"/>
    <mergeCell ref="C223:D223"/>
    <mergeCell ref="C254:F254"/>
    <mergeCell ref="A232:A235"/>
    <mergeCell ref="B232:B235"/>
    <mergeCell ref="C233:D233"/>
    <mergeCell ref="A236:A239"/>
    <mergeCell ref="B236:B239"/>
    <mergeCell ref="C237:D237"/>
    <mergeCell ref="A766:A769"/>
    <mergeCell ref="B766:B769"/>
    <mergeCell ref="C767:D767"/>
    <mergeCell ref="C791:F791"/>
    <mergeCell ref="B442:B445"/>
    <mergeCell ref="C443:D443"/>
    <mergeCell ref="A446:A449"/>
    <mergeCell ref="B446:B449"/>
    <mergeCell ref="C447:D447"/>
    <mergeCell ref="A756:A759"/>
    <mergeCell ref="B756:B759"/>
    <mergeCell ref="A748:A751"/>
    <mergeCell ref="B748:B751"/>
    <mergeCell ref="C748:D748"/>
    <mergeCell ref="A752:A755"/>
    <mergeCell ref="B752:B755"/>
    <mergeCell ref="C752:D752"/>
    <mergeCell ref="B722:B725"/>
    <mergeCell ref="C722:D722"/>
    <mergeCell ref="A726:A729"/>
    <mergeCell ref="B726:B729"/>
    <mergeCell ref="C726:D726"/>
    <mergeCell ref="A710:A713"/>
    <mergeCell ref="B710:B713"/>
    <mergeCell ref="A10:A13"/>
    <mergeCell ref="B10:B13"/>
    <mergeCell ref="C10:D10"/>
    <mergeCell ref="A14:A15"/>
    <mergeCell ref="B14:B15"/>
    <mergeCell ref="C16:F16"/>
    <mergeCell ref="A760:A761"/>
    <mergeCell ref="B760:B761"/>
    <mergeCell ref="C762:F762"/>
    <mergeCell ref="C288:D288"/>
    <mergeCell ref="C289:D289"/>
    <mergeCell ref="A292:A295"/>
    <mergeCell ref="B292:B295"/>
    <mergeCell ref="C293:D293"/>
    <mergeCell ref="A296:A299"/>
    <mergeCell ref="B296:B299"/>
    <mergeCell ref="C297:D297"/>
    <mergeCell ref="A300:A303"/>
    <mergeCell ref="B300:B303"/>
    <mergeCell ref="C301:D301"/>
    <mergeCell ref="A206:A209"/>
    <mergeCell ref="B206:B209"/>
    <mergeCell ref="C207:D207"/>
    <mergeCell ref="A210:A213"/>
  </mergeCells>
  <printOptions horizontalCentered="1"/>
  <pageMargins left="0.39370078740157477" right="0.39370078740157477" top="0.59055118110236215" bottom="0.59055118110236215" header="0.3" footer="0.3"/>
  <pageSetup paperSize="9" scale="90" fitToHeight="0" orientation="portrait" horizontalDpi="1200" verticalDpi="1200" r:id="rId1"/>
  <rowBreaks count="26" manualBreakCount="26">
    <brk id="42" max="5" man="1"/>
    <brk id="72" max="5" man="1"/>
    <brk id="102" max="5" man="1"/>
    <brk id="132" max="5" man="1"/>
    <brk id="162" max="5" man="1"/>
    <brk id="192" max="5" man="1"/>
    <brk id="222" max="5" man="1"/>
    <brk id="252" max="5" man="1"/>
    <brk id="282" max="5" man="1"/>
    <brk id="312" max="5" man="1"/>
    <brk id="342" max="5" man="1"/>
    <brk id="372" max="5" man="1"/>
    <brk id="402" max="5" man="1"/>
    <brk id="432" max="5" man="1"/>
    <brk id="462" max="5" man="1"/>
    <brk id="492" max="5" man="1"/>
    <brk id="522" max="5" man="1"/>
    <brk id="552" max="5" man="1"/>
    <brk id="582" max="5" man="1"/>
    <brk id="612" max="5" man="1"/>
    <brk id="642" max="5" man="1"/>
    <brk id="672" max="5" man="1"/>
    <brk id="702" max="5" man="1"/>
    <brk id="732" max="5" man="1"/>
    <brk id="762" max="5" man="1"/>
    <brk id="792" max="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330F1-104C-4238-BB68-E4A02628E9A4}">
  <sheetPr codeName="Foglio3"/>
  <dimension ref="A1:Z18"/>
  <sheetViews>
    <sheetView zoomScale="120" zoomScaleNormal="120" workbookViewId="0">
      <selection activeCell="A7" sqref="A7"/>
    </sheetView>
  </sheetViews>
  <sheetFormatPr defaultColWidth="9.140625" defaultRowHeight="15" x14ac:dyDescent="0.25"/>
  <cols>
    <col min="1" max="1" width="12.42578125" bestFit="1" customWidth="1"/>
    <col min="2" max="2" width="89" style="29" bestFit="1" customWidth="1"/>
    <col min="3" max="3" width="12.7109375" customWidth="1"/>
    <col min="4" max="4" width="10.7109375" style="29" customWidth="1"/>
    <col min="5" max="5" width="9.140625" style="29"/>
    <col min="6" max="6" width="32.7109375" style="29" customWidth="1"/>
    <col min="7" max="16384" width="9.140625" style="29"/>
  </cols>
  <sheetData>
    <row r="1" spans="1:26" ht="24" customHeight="1" x14ac:dyDescent="0.25">
      <c r="A1" s="101" t="s">
        <v>13</v>
      </c>
      <c r="B1" s="32" t="s">
        <v>214</v>
      </c>
      <c r="C1" s="103" t="s">
        <v>431</v>
      </c>
      <c r="Z1" s="29">
        <v>7</v>
      </c>
    </row>
    <row r="2" spans="1:26" ht="18" customHeight="1" x14ac:dyDescent="0.25">
      <c r="A2" s="102" t="s">
        <v>229</v>
      </c>
      <c r="B2" s="100" t="s">
        <v>442</v>
      </c>
      <c r="C2" s="104" t="s">
        <v>432</v>
      </c>
    </row>
    <row r="3" spans="1:26" ht="18" customHeight="1" x14ac:dyDescent="0.25">
      <c r="A3" s="102" t="s">
        <v>230</v>
      </c>
      <c r="B3" s="100" t="s">
        <v>440</v>
      </c>
      <c r="C3" s="104" t="s">
        <v>432</v>
      </c>
    </row>
    <row r="4" spans="1:26" ht="18" customHeight="1" x14ac:dyDescent="0.25">
      <c r="A4" s="102" t="s">
        <v>231</v>
      </c>
      <c r="B4" s="100" t="s">
        <v>236</v>
      </c>
      <c r="C4" s="104" t="s">
        <v>432</v>
      </c>
    </row>
    <row r="5" spans="1:26" ht="18" customHeight="1" x14ac:dyDescent="0.25">
      <c r="A5" s="102" t="s">
        <v>235</v>
      </c>
      <c r="B5" s="100" t="s">
        <v>435</v>
      </c>
      <c r="C5" s="104" t="s">
        <v>432</v>
      </c>
      <c r="F5" s="30" t="s">
        <v>222</v>
      </c>
      <c r="G5" s="29">
        <v>2</v>
      </c>
    </row>
    <row r="6" spans="1:26" ht="18" customHeight="1" x14ac:dyDescent="0.25">
      <c r="A6" s="102" t="s">
        <v>233</v>
      </c>
      <c r="B6" s="100" t="s">
        <v>237</v>
      </c>
      <c r="C6" s="104" t="s">
        <v>432</v>
      </c>
    </row>
    <row r="7" spans="1:26" ht="18" customHeight="1" x14ac:dyDescent="0.25">
      <c r="A7" s="102" t="s">
        <v>213</v>
      </c>
      <c r="B7" s="100" t="s">
        <v>443</v>
      </c>
      <c r="C7" s="104" t="s">
        <v>432</v>
      </c>
    </row>
    <row r="8" spans="1:26" ht="18" customHeight="1" x14ac:dyDescent="0.25">
      <c r="A8" s="102" t="s">
        <v>234</v>
      </c>
      <c r="B8" s="100" t="s">
        <v>434</v>
      </c>
      <c r="C8" s="104" t="s">
        <v>432</v>
      </c>
    </row>
    <row r="9" spans="1:26" ht="18" customHeight="1" x14ac:dyDescent="0.25">
      <c r="A9" s="102" t="s">
        <v>232</v>
      </c>
      <c r="B9" s="100" t="s">
        <v>436</v>
      </c>
      <c r="C9" s="104" t="s">
        <v>432</v>
      </c>
    </row>
    <row r="10" spans="1:26" ht="18" customHeight="1" x14ac:dyDescent="0.25">
      <c r="A10" s="102" t="s">
        <v>227</v>
      </c>
      <c r="B10" s="100" t="s">
        <v>438</v>
      </c>
      <c r="C10" s="104" t="s">
        <v>432</v>
      </c>
    </row>
    <row r="11" spans="1:26" ht="18" customHeight="1" x14ac:dyDescent="0.25">
      <c r="A11" s="102" t="s">
        <v>228</v>
      </c>
      <c r="B11" s="100" t="s">
        <v>437</v>
      </c>
      <c r="C11" s="104" t="s">
        <v>432</v>
      </c>
    </row>
    <row r="12" spans="1:26" ht="18" customHeight="1" x14ac:dyDescent="0.25">
      <c r="A12" s="102" t="s">
        <v>226</v>
      </c>
      <c r="B12" s="100" t="s">
        <v>441</v>
      </c>
      <c r="C12" s="104" t="s">
        <v>432</v>
      </c>
    </row>
    <row r="13" spans="1:26" ht="18" customHeight="1" x14ac:dyDescent="0.25"/>
    <row r="18" spans="6:6" ht="90" x14ac:dyDescent="0.25">
      <c r="F18" s="31" t="s">
        <v>433</v>
      </c>
    </row>
  </sheetData>
  <sheetProtection algorithmName="SHA-512" hashValue="bVgig/V5nit7b3lHRVAchn7Kd5kQJHVAsH8jUMlBAi41roHq317GAH+WAcXVor3vTuOHTfIPeEajV2wYvMBZuA==" saltValue="sTRQ9lUocCjDLhZpIDm79Q==" spinCount="100000" sheet="1" objects="1" scenarios="1" formatCells="0" formatColumns="0" format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VisualizzazioneLineareFerie">
                <anchor moveWithCells="1" sizeWithCells="1">
                  <from>
                    <xdr:col>8</xdr:col>
                    <xdr:colOff>104775</xdr:colOff>
                    <xdr:row>4</xdr:row>
                    <xdr:rowOff>47625</xdr:rowOff>
                  </from>
                  <to>
                    <xdr:col>10</xdr:col>
                    <xdr:colOff>581025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4EE76-342C-45C1-BB99-D5374A2A0118}">
  <sheetPr codeName="Foglio4"/>
  <dimension ref="A1:GC14"/>
  <sheetViews>
    <sheetView zoomScaleNormal="100" workbookViewId="0">
      <pane xSplit="1" ySplit="3" topLeftCell="K4" activePane="bottomRight" state="frozen"/>
      <selection pane="topRight" activeCell="B1" sqref="B1"/>
      <selection pane="bottomLeft" activeCell="A4" sqref="A4"/>
      <selection pane="bottomRight" activeCell="AI14" sqref="AI14"/>
    </sheetView>
  </sheetViews>
  <sheetFormatPr defaultRowHeight="15" x14ac:dyDescent="0.25"/>
  <cols>
    <col min="1" max="1" width="48.5703125" bestFit="1" customWidth="1"/>
    <col min="2" max="215" width="4.5703125" bestFit="1" customWidth="1"/>
  </cols>
  <sheetData>
    <row r="1" spans="1:185" ht="18.75" x14ac:dyDescent="0.3">
      <c r="A1" s="22" t="s">
        <v>225</v>
      </c>
    </row>
    <row r="2" spans="1:185" ht="15.75" x14ac:dyDescent="0.25">
      <c r="B2" s="132" t="s">
        <v>215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3"/>
      <c r="AG2" s="129" t="s">
        <v>216</v>
      </c>
      <c r="AH2" s="130"/>
      <c r="AI2" s="130"/>
      <c r="AJ2" s="130"/>
      <c r="AK2" s="130"/>
      <c r="AL2" s="130"/>
      <c r="AM2" s="130"/>
      <c r="AN2" s="130"/>
      <c r="AO2" s="130"/>
      <c r="AP2" s="130"/>
      <c r="AQ2" s="130"/>
      <c r="AR2" s="130"/>
      <c r="AS2" s="130"/>
      <c r="AT2" s="130"/>
      <c r="AU2" s="130"/>
      <c r="AV2" s="130"/>
      <c r="AW2" s="130"/>
      <c r="AX2" s="130"/>
      <c r="AY2" s="130"/>
      <c r="AZ2" s="130"/>
      <c r="BA2" s="130"/>
      <c r="BB2" s="130"/>
      <c r="BC2" s="130"/>
      <c r="BD2" s="130"/>
      <c r="BE2" s="130"/>
      <c r="BF2" s="130"/>
      <c r="BG2" s="130"/>
      <c r="BH2" s="130"/>
      <c r="BI2" s="130"/>
      <c r="BJ2" s="131"/>
      <c r="BK2" s="129" t="s">
        <v>217</v>
      </c>
      <c r="BL2" s="130"/>
      <c r="BM2" s="130"/>
      <c r="BN2" s="130"/>
      <c r="BO2" s="130"/>
      <c r="BP2" s="130"/>
      <c r="BQ2" s="130"/>
      <c r="BR2" s="130"/>
      <c r="BS2" s="130"/>
      <c r="BT2" s="130"/>
      <c r="BU2" s="130"/>
      <c r="BV2" s="130"/>
      <c r="BW2" s="130"/>
      <c r="BX2" s="130"/>
      <c r="BY2" s="130"/>
      <c r="BZ2" s="130"/>
      <c r="CA2" s="130"/>
      <c r="CB2" s="130"/>
      <c r="CC2" s="130"/>
      <c r="CD2" s="130"/>
      <c r="CE2" s="130"/>
      <c r="CF2" s="130"/>
      <c r="CG2" s="130"/>
      <c r="CH2" s="130"/>
      <c r="CI2" s="130"/>
      <c r="CJ2" s="130"/>
      <c r="CK2" s="130"/>
      <c r="CL2" s="130"/>
      <c r="CM2" s="130"/>
      <c r="CN2" s="130"/>
      <c r="CO2" s="131"/>
      <c r="CP2" s="129" t="s">
        <v>218</v>
      </c>
      <c r="CQ2" s="130"/>
      <c r="CR2" s="130"/>
      <c r="CS2" s="130"/>
      <c r="CT2" s="130"/>
      <c r="CU2" s="130"/>
      <c r="CV2" s="130"/>
      <c r="CW2" s="130"/>
      <c r="CX2" s="130"/>
      <c r="CY2" s="130"/>
      <c r="CZ2" s="130"/>
      <c r="DA2" s="130"/>
      <c r="DB2" s="130"/>
      <c r="DC2" s="130"/>
      <c r="DD2" s="130"/>
      <c r="DE2" s="130"/>
      <c r="DF2" s="130"/>
      <c r="DG2" s="130"/>
      <c r="DH2" s="130"/>
      <c r="DI2" s="130"/>
      <c r="DJ2" s="130"/>
      <c r="DK2" s="130"/>
      <c r="DL2" s="130"/>
      <c r="DM2" s="130"/>
      <c r="DN2" s="130"/>
      <c r="DO2" s="130"/>
      <c r="DP2" s="130"/>
      <c r="DQ2" s="130"/>
      <c r="DR2" s="130"/>
      <c r="DS2" s="130"/>
      <c r="DT2" s="131"/>
      <c r="DU2" s="129" t="s">
        <v>219</v>
      </c>
      <c r="DV2" s="130"/>
      <c r="DW2" s="130"/>
      <c r="DX2" s="130"/>
      <c r="DY2" s="130"/>
      <c r="DZ2" s="130"/>
      <c r="EA2" s="130"/>
      <c r="EB2" s="130"/>
      <c r="EC2" s="130"/>
      <c r="ED2" s="130"/>
      <c r="EE2" s="130"/>
      <c r="EF2" s="130"/>
      <c r="EG2" s="130"/>
      <c r="EH2" s="130"/>
      <c r="EI2" s="130"/>
      <c r="EJ2" s="130"/>
      <c r="EK2" s="130"/>
      <c r="EL2" s="130"/>
      <c r="EM2" s="130"/>
      <c r="EN2" s="130"/>
      <c r="EO2" s="130"/>
      <c r="EP2" s="130"/>
      <c r="EQ2" s="130"/>
      <c r="ER2" s="130"/>
      <c r="ES2" s="130"/>
      <c r="ET2" s="130"/>
      <c r="EU2" s="130"/>
      <c r="EV2" s="130"/>
      <c r="EW2" s="130"/>
      <c r="EX2" s="131"/>
      <c r="EY2" s="129" t="s">
        <v>220</v>
      </c>
      <c r="EZ2" s="130"/>
      <c r="FA2" s="130"/>
      <c r="FB2" s="130"/>
      <c r="FC2" s="130"/>
      <c r="FD2" s="130"/>
      <c r="FE2" s="130"/>
      <c r="FF2" s="130"/>
      <c r="FG2" s="130"/>
      <c r="FH2" s="130"/>
      <c r="FI2" s="130"/>
      <c r="FJ2" s="130"/>
      <c r="FK2" s="130"/>
      <c r="FL2" s="130"/>
      <c r="FM2" s="130"/>
      <c r="FN2" s="130"/>
      <c r="FO2" s="130"/>
      <c r="FP2" s="130"/>
      <c r="FQ2" s="130"/>
      <c r="FR2" s="130"/>
      <c r="FS2" s="130"/>
      <c r="FT2" s="130"/>
      <c r="FU2" s="130"/>
      <c r="FV2" s="130"/>
      <c r="FW2" s="130"/>
      <c r="FX2" s="130"/>
      <c r="FY2" s="130"/>
      <c r="FZ2" s="130"/>
      <c r="GA2" s="130"/>
      <c r="GB2" s="130"/>
      <c r="GC2" s="131"/>
    </row>
    <row r="3" spans="1:185" ht="30" x14ac:dyDescent="0.25">
      <c r="A3" s="58" t="s">
        <v>13</v>
      </c>
      <c r="B3" s="59" t="s">
        <v>15</v>
      </c>
      <c r="C3" s="60" t="s">
        <v>16</v>
      </c>
      <c r="D3" s="59" t="s">
        <v>17</v>
      </c>
      <c r="E3" s="60" t="s">
        <v>18</v>
      </c>
      <c r="F3" s="60" t="s">
        <v>19</v>
      </c>
      <c r="G3" s="60" t="s">
        <v>20</v>
      </c>
      <c r="H3" s="60" t="s">
        <v>21</v>
      </c>
      <c r="I3" s="60" t="s">
        <v>22</v>
      </c>
      <c r="J3" s="60" t="s">
        <v>23</v>
      </c>
      <c r="K3" s="59" t="s">
        <v>24</v>
      </c>
      <c r="L3" s="60" t="s">
        <v>25</v>
      </c>
      <c r="M3" s="60" t="s">
        <v>26</v>
      </c>
      <c r="N3" s="60" t="s">
        <v>27</v>
      </c>
      <c r="O3" s="60" t="s">
        <v>28</v>
      </c>
      <c r="P3" s="60" t="s">
        <v>29</v>
      </c>
      <c r="Q3" s="60" t="s">
        <v>30</v>
      </c>
      <c r="R3" s="59" t="s">
        <v>31</v>
      </c>
      <c r="S3" s="60" t="s">
        <v>32</v>
      </c>
      <c r="T3" s="60" t="s">
        <v>33</v>
      </c>
      <c r="U3" s="60" t="s">
        <v>34</v>
      </c>
      <c r="V3" s="60" t="s">
        <v>35</v>
      </c>
      <c r="W3" s="60" t="s">
        <v>36</v>
      </c>
      <c r="X3" s="60" t="s">
        <v>37</v>
      </c>
      <c r="Y3" s="59" t="s">
        <v>38</v>
      </c>
      <c r="Z3" s="60" t="s">
        <v>39</v>
      </c>
      <c r="AA3" s="60" t="s">
        <v>40</v>
      </c>
      <c r="AB3" s="60" t="s">
        <v>41</v>
      </c>
      <c r="AC3" s="60" t="s">
        <v>42</v>
      </c>
      <c r="AD3" s="60" t="s">
        <v>43</v>
      </c>
      <c r="AE3" s="60" t="s">
        <v>44</v>
      </c>
      <c r="AF3" s="67" t="s">
        <v>45</v>
      </c>
      <c r="AG3" s="65" t="s">
        <v>46</v>
      </c>
      <c r="AH3" s="59" t="s">
        <v>47</v>
      </c>
      <c r="AI3" s="60" t="s">
        <v>48</v>
      </c>
      <c r="AJ3" s="60" t="s">
        <v>49</v>
      </c>
      <c r="AK3" s="60" t="s">
        <v>50</v>
      </c>
      <c r="AL3" s="60" t="s">
        <v>51</v>
      </c>
      <c r="AM3" s="59" t="s">
        <v>52</v>
      </c>
      <c r="AN3" s="60" t="s">
        <v>53</v>
      </c>
      <c r="AO3" s="60" t="s">
        <v>54</v>
      </c>
      <c r="AP3" s="60" t="s">
        <v>55</v>
      </c>
      <c r="AQ3" s="60" t="s">
        <v>56</v>
      </c>
      <c r="AR3" s="60" t="s">
        <v>57</v>
      </c>
      <c r="AS3" s="60" t="s">
        <v>58</v>
      </c>
      <c r="AT3" s="59" t="s">
        <v>59</v>
      </c>
      <c r="AU3" s="60" t="s">
        <v>60</v>
      </c>
      <c r="AV3" s="60" t="s">
        <v>61</v>
      </c>
      <c r="AW3" s="60" t="s">
        <v>62</v>
      </c>
      <c r="AX3" s="60" t="s">
        <v>63</v>
      </c>
      <c r="AY3" s="60" t="s">
        <v>64</v>
      </c>
      <c r="AZ3" s="60" t="s">
        <v>65</v>
      </c>
      <c r="BA3" s="59" t="s">
        <v>66</v>
      </c>
      <c r="BB3" s="60" t="s">
        <v>67</v>
      </c>
      <c r="BC3" s="60" t="s">
        <v>68</v>
      </c>
      <c r="BD3" s="60" t="s">
        <v>69</v>
      </c>
      <c r="BE3" s="60" t="s">
        <v>70</v>
      </c>
      <c r="BF3" s="60" t="s">
        <v>71</v>
      </c>
      <c r="BG3" s="60" t="s">
        <v>72</v>
      </c>
      <c r="BH3" s="59" t="s">
        <v>73</v>
      </c>
      <c r="BI3" s="60" t="s">
        <v>74</v>
      </c>
      <c r="BJ3" s="70" t="s">
        <v>75</v>
      </c>
      <c r="BK3" s="65" t="s">
        <v>76</v>
      </c>
      <c r="BL3" s="60" t="s">
        <v>77</v>
      </c>
      <c r="BM3" s="60" t="s">
        <v>78</v>
      </c>
      <c r="BN3" s="60" t="s">
        <v>79</v>
      </c>
      <c r="BO3" s="59" t="s">
        <v>80</v>
      </c>
      <c r="BP3" s="60" t="s">
        <v>81</v>
      </c>
      <c r="BQ3" s="60" t="s">
        <v>82</v>
      </c>
      <c r="BR3" s="60" t="s">
        <v>83</v>
      </c>
      <c r="BS3" s="60" t="s">
        <v>84</v>
      </c>
      <c r="BT3" s="60" t="s">
        <v>85</v>
      </c>
      <c r="BU3" s="60" t="s">
        <v>86</v>
      </c>
      <c r="BV3" s="59" t="s">
        <v>87</v>
      </c>
      <c r="BW3" s="60" t="s">
        <v>88</v>
      </c>
      <c r="BX3" s="60" t="s">
        <v>89</v>
      </c>
      <c r="BY3" s="60" t="s">
        <v>90</v>
      </c>
      <c r="BZ3" s="60" t="s">
        <v>91</v>
      </c>
      <c r="CA3" s="60" t="s">
        <v>92</v>
      </c>
      <c r="CB3" s="60" t="s">
        <v>93</v>
      </c>
      <c r="CC3" s="59" t="s">
        <v>94</v>
      </c>
      <c r="CD3" s="60" t="s">
        <v>95</v>
      </c>
      <c r="CE3" s="60" t="s">
        <v>96</v>
      </c>
      <c r="CF3" s="60" t="s">
        <v>97</v>
      </c>
      <c r="CG3" s="60" t="s">
        <v>98</v>
      </c>
      <c r="CH3" s="60" t="s">
        <v>99</v>
      </c>
      <c r="CI3" s="60" t="s">
        <v>100</v>
      </c>
      <c r="CJ3" s="59" t="s">
        <v>101</v>
      </c>
      <c r="CK3" s="60" t="s">
        <v>102</v>
      </c>
      <c r="CL3" s="60" t="s">
        <v>103</v>
      </c>
      <c r="CM3" s="60" t="s">
        <v>104</v>
      </c>
      <c r="CN3" s="60" t="s">
        <v>105</v>
      </c>
      <c r="CO3" s="70" t="s">
        <v>106</v>
      </c>
      <c r="CP3" s="65" t="s">
        <v>107</v>
      </c>
      <c r="CQ3" s="59" t="s">
        <v>108</v>
      </c>
      <c r="CR3" s="60" t="s">
        <v>109</v>
      </c>
      <c r="CS3" s="60" t="s">
        <v>110</v>
      </c>
      <c r="CT3" s="60" t="s">
        <v>19</v>
      </c>
      <c r="CU3" s="60" t="s">
        <v>111</v>
      </c>
      <c r="CV3" s="60" t="s">
        <v>112</v>
      </c>
      <c r="CW3" s="60" t="s">
        <v>113</v>
      </c>
      <c r="CX3" s="59" t="s">
        <v>114</v>
      </c>
      <c r="CY3" s="60" t="s">
        <v>115</v>
      </c>
      <c r="CZ3" s="60" t="s">
        <v>116</v>
      </c>
      <c r="DA3" s="60" t="s">
        <v>26</v>
      </c>
      <c r="DB3" s="60" t="s">
        <v>117</v>
      </c>
      <c r="DC3" s="60" t="s">
        <v>118</v>
      </c>
      <c r="DD3" s="59" t="s">
        <v>119</v>
      </c>
      <c r="DE3" s="59" t="s">
        <v>120</v>
      </c>
      <c r="DF3" s="60" t="s">
        <v>121</v>
      </c>
      <c r="DG3" s="60" t="s">
        <v>122</v>
      </c>
      <c r="DH3" s="60" t="s">
        <v>33</v>
      </c>
      <c r="DI3" s="60" t="s">
        <v>123</v>
      </c>
      <c r="DJ3" s="60" t="s">
        <v>124</v>
      </c>
      <c r="DK3" s="60" t="s">
        <v>125</v>
      </c>
      <c r="DL3" s="59" t="s">
        <v>126</v>
      </c>
      <c r="DM3" s="60" t="s">
        <v>127</v>
      </c>
      <c r="DN3" s="60" t="s">
        <v>128</v>
      </c>
      <c r="DO3" s="60" t="s">
        <v>40</v>
      </c>
      <c r="DP3" s="60" t="s">
        <v>129</v>
      </c>
      <c r="DQ3" s="60" t="s">
        <v>130</v>
      </c>
      <c r="DR3" s="60" t="s">
        <v>131</v>
      </c>
      <c r="DS3" s="59" t="s">
        <v>132</v>
      </c>
      <c r="DT3" s="70" t="s">
        <v>133</v>
      </c>
      <c r="DU3" s="65" t="s">
        <v>76</v>
      </c>
      <c r="DV3" s="60" t="s">
        <v>47</v>
      </c>
      <c r="DW3" s="60" t="s">
        <v>134</v>
      </c>
      <c r="DX3" s="60" t="s">
        <v>135</v>
      </c>
      <c r="DY3" s="60" t="s">
        <v>136</v>
      </c>
      <c r="DZ3" s="59" t="s">
        <v>137</v>
      </c>
      <c r="EA3" s="60" t="s">
        <v>138</v>
      </c>
      <c r="EB3" s="60" t="s">
        <v>83</v>
      </c>
      <c r="EC3" s="60" t="s">
        <v>54</v>
      </c>
      <c r="ED3" s="60" t="s">
        <v>139</v>
      </c>
      <c r="EE3" s="60" t="s">
        <v>140</v>
      </c>
      <c r="EF3" s="60" t="s">
        <v>141</v>
      </c>
      <c r="EG3" s="59" t="s">
        <v>142</v>
      </c>
      <c r="EH3" s="60" t="s">
        <v>143</v>
      </c>
      <c r="EI3" s="60" t="s">
        <v>90</v>
      </c>
      <c r="EJ3" s="60" t="s">
        <v>61</v>
      </c>
      <c r="EK3" s="60" t="s">
        <v>144</v>
      </c>
      <c r="EL3" s="60" t="s">
        <v>145</v>
      </c>
      <c r="EM3" s="60" t="s">
        <v>146</v>
      </c>
      <c r="EN3" s="59" t="s">
        <v>147</v>
      </c>
      <c r="EO3" s="60" t="s">
        <v>148</v>
      </c>
      <c r="EP3" s="60" t="s">
        <v>97</v>
      </c>
      <c r="EQ3" s="60" t="s">
        <v>68</v>
      </c>
      <c r="ER3" s="60" t="s">
        <v>149</v>
      </c>
      <c r="ES3" s="60" t="s">
        <v>150</v>
      </c>
      <c r="ET3" s="60" t="s">
        <v>151</v>
      </c>
      <c r="EU3" s="59" t="s">
        <v>152</v>
      </c>
      <c r="EV3" s="60" t="s">
        <v>153</v>
      </c>
      <c r="EW3" s="60" t="s">
        <v>104</v>
      </c>
      <c r="EX3" s="70" t="s">
        <v>75</v>
      </c>
      <c r="EY3" s="65" t="s">
        <v>154</v>
      </c>
      <c r="EZ3" s="60" t="s">
        <v>155</v>
      </c>
      <c r="FA3" s="60" t="s">
        <v>156</v>
      </c>
      <c r="FB3" s="59" t="s">
        <v>157</v>
      </c>
      <c r="FC3" s="60" t="s">
        <v>158</v>
      </c>
      <c r="FD3" s="60" t="s">
        <v>20</v>
      </c>
      <c r="FE3" s="60" t="s">
        <v>82</v>
      </c>
      <c r="FF3" s="60" t="s">
        <v>159</v>
      </c>
      <c r="FG3" s="60" t="s">
        <v>160</v>
      </c>
      <c r="FH3" s="60" t="s">
        <v>161</v>
      </c>
      <c r="FI3" s="59" t="s">
        <v>162</v>
      </c>
      <c r="FJ3" s="60" t="s">
        <v>163</v>
      </c>
      <c r="FK3" s="60" t="s">
        <v>27</v>
      </c>
      <c r="FL3" s="60" t="s">
        <v>89</v>
      </c>
      <c r="FM3" s="60" t="s">
        <v>164</v>
      </c>
      <c r="FN3" s="60" t="s">
        <v>165</v>
      </c>
      <c r="FO3" s="60" t="s">
        <v>166</v>
      </c>
      <c r="FP3" s="59" t="s">
        <v>167</v>
      </c>
      <c r="FQ3" s="60" t="s">
        <v>168</v>
      </c>
      <c r="FR3" s="60" t="s">
        <v>34</v>
      </c>
      <c r="FS3" s="60" t="s">
        <v>96</v>
      </c>
      <c r="FT3" s="60" t="s">
        <v>169</v>
      </c>
      <c r="FU3" s="60" t="s">
        <v>170</v>
      </c>
      <c r="FV3" s="60" t="s">
        <v>171</v>
      </c>
      <c r="FW3" s="59" t="s">
        <v>172</v>
      </c>
      <c r="FX3" s="60" t="s">
        <v>173</v>
      </c>
      <c r="FY3" s="60" t="s">
        <v>41</v>
      </c>
      <c r="FZ3" s="60" t="s">
        <v>103</v>
      </c>
      <c r="GA3" s="60" t="s">
        <v>174</v>
      </c>
      <c r="GB3" s="60" t="s">
        <v>175</v>
      </c>
      <c r="GC3" s="70" t="s">
        <v>176</v>
      </c>
    </row>
    <row r="4" spans="1:185" x14ac:dyDescent="0.25">
      <c r="A4" s="61" t="s">
        <v>231</v>
      </c>
      <c r="B4" s="62" t="s">
        <v>14</v>
      </c>
      <c r="C4" s="63" t="s">
        <v>14</v>
      </c>
      <c r="D4" s="62" t="s">
        <v>14</v>
      </c>
      <c r="E4" s="107" t="s">
        <v>12</v>
      </c>
      <c r="F4" s="107" t="s">
        <v>12</v>
      </c>
      <c r="G4" s="107" t="s">
        <v>10</v>
      </c>
      <c r="H4" s="108"/>
      <c r="I4" s="108"/>
      <c r="J4" s="107" t="s">
        <v>10</v>
      </c>
      <c r="K4" s="64"/>
      <c r="L4" s="108"/>
      <c r="M4" s="108"/>
      <c r="N4" s="108"/>
      <c r="O4" s="107" t="s">
        <v>10</v>
      </c>
      <c r="P4" s="107" t="s">
        <v>12</v>
      </c>
      <c r="Q4" s="107" t="s">
        <v>12</v>
      </c>
      <c r="R4" s="64"/>
      <c r="S4" s="107" t="s">
        <v>11</v>
      </c>
      <c r="T4" s="107" t="s">
        <v>11</v>
      </c>
      <c r="U4" s="107" t="s">
        <v>11</v>
      </c>
      <c r="V4" s="107" t="s">
        <v>12</v>
      </c>
      <c r="W4" s="107" t="s">
        <v>11</v>
      </c>
      <c r="X4" s="108"/>
      <c r="Y4" s="64"/>
      <c r="Z4" s="107" t="s">
        <v>10</v>
      </c>
      <c r="AA4" s="107" t="s">
        <v>10</v>
      </c>
      <c r="AB4" s="107" t="s">
        <v>12</v>
      </c>
      <c r="AC4" s="107" t="s">
        <v>12</v>
      </c>
      <c r="AD4" s="108"/>
      <c r="AE4" s="108"/>
      <c r="AF4" s="68"/>
      <c r="AG4" s="109" t="s">
        <v>10</v>
      </c>
      <c r="AH4" s="77"/>
      <c r="AI4" s="107" t="s">
        <v>12</v>
      </c>
      <c r="AJ4" s="88"/>
      <c r="AK4" s="79"/>
      <c r="AL4" s="79"/>
      <c r="AM4" s="79"/>
      <c r="AN4" s="107" t="s">
        <v>12</v>
      </c>
      <c r="AO4" s="107" t="s">
        <v>12</v>
      </c>
      <c r="AP4" s="107" t="s">
        <v>10</v>
      </c>
      <c r="AQ4" s="108"/>
      <c r="AR4" s="108"/>
      <c r="AS4" s="108"/>
      <c r="AT4" s="64"/>
      <c r="AU4" s="108"/>
      <c r="AV4" s="108"/>
      <c r="AW4" s="108"/>
      <c r="AX4" s="108"/>
      <c r="AY4" s="107" t="s">
        <v>10</v>
      </c>
      <c r="AZ4" s="107" t="s">
        <v>12</v>
      </c>
      <c r="BA4" s="77" t="s">
        <v>12</v>
      </c>
      <c r="BB4" s="108"/>
      <c r="BC4" s="108"/>
      <c r="BD4" s="108"/>
      <c r="BE4" s="108"/>
      <c r="BF4" s="107" t="s">
        <v>10</v>
      </c>
      <c r="BG4" s="107" t="s">
        <v>12</v>
      </c>
      <c r="BH4" s="77" t="s">
        <v>12</v>
      </c>
      <c r="BI4" s="108"/>
      <c r="BJ4" s="110"/>
      <c r="BK4" s="111"/>
      <c r="BL4" s="88"/>
      <c r="BM4" s="88"/>
      <c r="BN4" s="88"/>
      <c r="BO4" s="64"/>
      <c r="BP4" s="107" t="s">
        <v>11</v>
      </c>
      <c r="BQ4" s="107" t="s">
        <v>11</v>
      </c>
      <c r="BR4" s="107" t="s">
        <v>12</v>
      </c>
      <c r="BS4" s="107" t="s">
        <v>11</v>
      </c>
      <c r="BT4" s="107" t="s">
        <v>11</v>
      </c>
      <c r="BU4" s="108"/>
      <c r="BV4" s="64"/>
      <c r="BW4" s="63" t="s">
        <v>14</v>
      </c>
      <c r="BX4" s="63" t="s">
        <v>14</v>
      </c>
      <c r="BY4" s="63" t="s">
        <v>14</v>
      </c>
      <c r="BZ4" s="63" t="s">
        <v>14</v>
      </c>
      <c r="CA4" s="63" t="s">
        <v>14</v>
      </c>
      <c r="CB4" s="107" t="s">
        <v>12</v>
      </c>
      <c r="CC4" s="77" t="s">
        <v>10</v>
      </c>
      <c r="CD4" s="107" t="s">
        <v>12</v>
      </c>
      <c r="CE4" s="107" t="s">
        <v>12</v>
      </c>
      <c r="CF4" s="107" t="s">
        <v>10</v>
      </c>
      <c r="CG4" s="108"/>
      <c r="CH4" s="81"/>
      <c r="CI4" s="79"/>
      <c r="CJ4" s="79"/>
      <c r="CK4" s="99"/>
      <c r="CL4" s="108"/>
      <c r="CM4" s="108"/>
      <c r="CN4" s="107" t="s">
        <v>10</v>
      </c>
      <c r="CO4" s="112" t="s">
        <v>12</v>
      </c>
      <c r="CP4" s="109" t="s">
        <v>12</v>
      </c>
      <c r="CQ4" s="62" t="s">
        <v>14</v>
      </c>
      <c r="CR4" s="107" t="s">
        <v>11</v>
      </c>
      <c r="CS4" s="107" t="s">
        <v>11</v>
      </c>
      <c r="CT4" s="107" t="s">
        <v>11</v>
      </c>
      <c r="CU4" s="107" t="s">
        <v>11</v>
      </c>
      <c r="CV4" s="107" t="s">
        <v>11</v>
      </c>
      <c r="CW4" s="108"/>
      <c r="CX4" s="64"/>
      <c r="CY4" s="107" t="s">
        <v>10</v>
      </c>
      <c r="CZ4" s="107" t="s">
        <v>10</v>
      </c>
      <c r="DA4" s="107" t="s">
        <v>12</v>
      </c>
      <c r="DB4" s="107" t="s">
        <v>12</v>
      </c>
      <c r="DC4" s="108"/>
      <c r="DD4" s="64"/>
      <c r="DE4" s="64"/>
      <c r="DF4" s="107" t="s">
        <v>10</v>
      </c>
      <c r="DG4" s="107" t="s">
        <v>10</v>
      </c>
      <c r="DH4" s="107" t="s">
        <v>12</v>
      </c>
      <c r="DI4" s="107" t="s">
        <v>12</v>
      </c>
      <c r="DJ4" s="79"/>
      <c r="DK4" s="99"/>
      <c r="DL4" s="79"/>
      <c r="DM4" s="88"/>
      <c r="DN4" s="88"/>
      <c r="DO4" s="88"/>
      <c r="DP4" s="79"/>
      <c r="DQ4" s="99"/>
      <c r="DR4" s="99"/>
      <c r="DS4" s="99"/>
      <c r="DT4" s="99"/>
      <c r="DU4" s="99"/>
      <c r="DV4" s="99"/>
      <c r="DW4" s="99"/>
      <c r="DX4" s="107" t="s">
        <v>10</v>
      </c>
      <c r="DY4" s="107" t="s">
        <v>12</v>
      </c>
      <c r="DZ4" s="77" t="s">
        <v>12</v>
      </c>
      <c r="EA4" s="108"/>
      <c r="EB4" s="108"/>
      <c r="EC4" s="108"/>
      <c r="ED4" s="108"/>
      <c r="EE4" s="107" t="s">
        <v>10</v>
      </c>
      <c r="EF4" s="107" t="s">
        <v>12</v>
      </c>
      <c r="EG4" s="77" t="s">
        <v>12</v>
      </c>
      <c r="EH4" s="108"/>
      <c r="EI4" s="108"/>
      <c r="EJ4" s="108"/>
      <c r="EK4" s="107" t="s">
        <v>10</v>
      </c>
      <c r="EL4" s="107" t="s">
        <v>12</v>
      </c>
      <c r="EM4" s="107" t="s">
        <v>12</v>
      </c>
      <c r="EN4" s="64"/>
      <c r="EO4" s="107" t="s">
        <v>11</v>
      </c>
      <c r="EP4" s="107" t="s">
        <v>11</v>
      </c>
      <c r="EQ4" s="107" t="s">
        <v>11</v>
      </c>
      <c r="ER4" s="107" t="s">
        <v>11</v>
      </c>
      <c r="ES4" s="107" t="s">
        <v>11</v>
      </c>
      <c r="ET4" s="108"/>
      <c r="EU4" s="64"/>
      <c r="EV4" s="63" t="s">
        <v>14</v>
      </c>
      <c r="EW4" s="63" t="s">
        <v>14</v>
      </c>
      <c r="EX4" s="71" t="s">
        <v>14</v>
      </c>
      <c r="EY4" s="66" t="s">
        <v>14</v>
      </c>
      <c r="EZ4" s="63" t="s">
        <v>14</v>
      </c>
      <c r="FA4" s="107" t="s">
        <v>12</v>
      </c>
      <c r="FB4" s="62" t="s">
        <v>14</v>
      </c>
      <c r="FC4" s="107" t="s">
        <v>12</v>
      </c>
      <c r="FD4" s="107" t="s">
        <v>12</v>
      </c>
      <c r="FE4" s="107" t="s">
        <v>10</v>
      </c>
      <c r="FF4" s="108"/>
      <c r="FG4" s="108"/>
      <c r="FH4" s="108"/>
      <c r="FI4" s="64"/>
      <c r="FJ4" s="108"/>
      <c r="FK4" s="108"/>
      <c r="FL4" s="108"/>
      <c r="FM4" s="107" t="s">
        <v>10</v>
      </c>
      <c r="FN4" s="107" t="s">
        <v>12</v>
      </c>
      <c r="FO4" s="107" t="s">
        <v>12</v>
      </c>
      <c r="FP4" s="64"/>
      <c r="FQ4" s="107" t="s">
        <v>11</v>
      </c>
      <c r="FR4" s="107" t="s">
        <v>11</v>
      </c>
      <c r="FS4" s="107" t="s">
        <v>11</v>
      </c>
      <c r="FT4" s="107" t="s">
        <v>11</v>
      </c>
      <c r="FU4" s="107" t="s">
        <v>12</v>
      </c>
      <c r="FV4" s="108"/>
      <c r="FW4" s="64"/>
      <c r="FX4" s="107" t="s">
        <v>10</v>
      </c>
      <c r="FY4" s="107" t="s">
        <v>10</v>
      </c>
      <c r="FZ4" s="107" t="s">
        <v>12</v>
      </c>
      <c r="GA4" s="107" t="s">
        <v>12</v>
      </c>
      <c r="GB4" s="108"/>
      <c r="GC4" s="110"/>
    </row>
    <row r="5" spans="1:185" x14ac:dyDescent="0.25">
      <c r="A5" s="61" t="s">
        <v>233</v>
      </c>
      <c r="B5" s="64"/>
      <c r="C5" s="108"/>
      <c r="D5" s="64"/>
      <c r="E5" s="108"/>
      <c r="F5" s="108"/>
      <c r="G5" s="108"/>
      <c r="H5" s="107" t="s">
        <v>10</v>
      </c>
      <c r="I5" s="107" t="s">
        <v>12</v>
      </c>
      <c r="J5" s="107" t="s">
        <v>12</v>
      </c>
      <c r="K5" s="64"/>
      <c r="L5" s="107" t="s">
        <v>11</v>
      </c>
      <c r="M5" s="107" t="s">
        <v>11</v>
      </c>
      <c r="N5" s="107" t="s">
        <v>11</v>
      </c>
      <c r="O5" s="107" t="s">
        <v>11</v>
      </c>
      <c r="P5" s="107" t="s">
        <v>11</v>
      </c>
      <c r="Q5" s="108"/>
      <c r="R5" s="64"/>
      <c r="S5" s="107" t="s">
        <v>10</v>
      </c>
      <c r="T5" s="107" t="s">
        <v>10</v>
      </c>
      <c r="U5" s="107" t="s">
        <v>12</v>
      </c>
      <c r="V5" s="107" t="s">
        <v>12</v>
      </c>
      <c r="W5" s="108"/>
      <c r="X5" s="108"/>
      <c r="Y5" s="64"/>
      <c r="Z5" s="107" t="s">
        <v>10</v>
      </c>
      <c r="AA5" s="107" t="s">
        <v>10</v>
      </c>
      <c r="AB5" s="107" t="s">
        <v>12</v>
      </c>
      <c r="AC5" s="107" t="s">
        <v>12</v>
      </c>
      <c r="AD5" s="108"/>
      <c r="AE5" s="108"/>
      <c r="AF5" s="68"/>
      <c r="AG5" s="109" t="s">
        <v>12</v>
      </c>
      <c r="AH5" s="77" t="s">
        <v>12</v>
      </c>
      <c r="AI5" s="107" t="s">
        <v>10</v>
      </c>
      <c r="AJ5" s="108"/>
      <c r="AK5" s="108"/>
      <c r="AL5" s="108"/>
      <c r="AM5" s="77" t="s">
        <v>10</v>
      </c>
      <c r="AN5" s="108"/>
      <c r="AO5" s="108"/>
      <c r="AP5" s="108"/>
      <c r="AQ5" s="108"/>
      <c r="AR5" s="107" t="s">
        <v>10</v>
      </c>
      <c r="AS5" s="107" t="s">
        <v>12</v>
      </c>
      <c r="AT5" s="77" t="s">
        <v>12</v>
      </c>
      <c r="AU5" s="108"/>
      <c r="AV5" s="108"/>
      <c r="AW5" s="108"/>
      <c r="AX5" s="108"/>
      <c r="AY5" s="107" t="s">
        <v>10</v>
      </c>
      <c r="AZ5" s="107" t="s">
        <v>12</v>
      </c>
      <c r="BA5" s="77" t="s">
        <v>12</v>
      </c>
      <c r="BB5" s="108"/>
      <c r="BC5" s="108"/>
      <c r="BD5" s="108"/>
      <c r="BE5" s="107" t="s">
        <v>10</v>
      </c>
      <c r="BF5" s="107" t="s">
        <v>12</v>
      </c>
      <c r="BG5" s="107" t="s">
        <v>12</v>
      </c>
      <c r="BH5" s="64"/>
      <c r="BI5" s="107" t="s">
        <v>11</v>
      </c>
      <c r="BJ5" s="112" t="s">
        <v>11</v>
      </c>
      <c r="BK5" s="109" t="s">
        <v>11</v>
      </c>
      <c r="BL5" s="107" t="s">
        <v>12</v>
      </c>
      <c r="BM5" s="107" t="s">
        <v>11</v>
      </c>
      <c r="BN5" s="108"/>
      <c r="BO5" s="64"/>
      <c r="BP5" s="63" t="s">
        <v>14</v>
      </c>
      <c r="BQ5" s="63" t="s">
        <v>14</v>
      </c>
      <c r="BR5" s="63" t="s">
        <v>14</v>
      </c>
      <c r="BS5" s="63" t="s">
        <v>14</v>
      </c>
      <c r="BT5" s="63" t="s">
        <v>14</v>
      </c>
      <c r="BU5" s="63" t="s">
        <v>14</v>
      </c>
      <c r="BV5" s="62" t="s">
        <v>14</v>
      </c>
      <c r="BW5" s="107" t="s">
        <v>12</v>
      </c>
      <c r="BX5" s="107" t="s">
        <v>12</v>
      </c>
      <c r="BY5" s="79"/>
      <c r="BZ5" s="79"/>
      <c r="CA5" s="79"/>
      <c r="CB5" s="79"/>
      <c r="CC5" s="79"/>
      <c r="CD5" s="79"/>
      <c r="CE5" s="79"/>
      <c r="CF5" s="79"/>
      <c r="CG5" s="79"/>
      <c r="CH5" s="80" t="s">
        <v>12</v>
      </c>
      <c r="CI5" s="107" t="s">
        <v>12</v>
      </c>
      <c r="CJ5" s="64"/>
      <c r="CK5" s="107" t="s">
        <v>11</v>
      </c>
      <c r="CL5" s="107" t="s">
        <v>12</v>
      </c>
      <c r="CM5" s="107" t="s">
        <v>11</v>
      </c>
      <c r="CN5" s="107" t="s">
        <v>11</v>
      </c>
      <c r="CO5" s="112" t="s">
        <v>12</v>
      </c>
      <c r="CP5" s="111"/>
      <c r="CQ5" s="64"/>
      <c r="CR5" s="107" t="s">
        <v>10</v>
      </c>
      <c r="CS5" s="107" t="s">
        <v>10</v>
      </c>
      <c r="CT5" s="107" t="s">
        <v>12</v>
      </c>
      <c r="CU5" s="107" t="s">
        <v>12</v>
      </c>
      <c r="CV5" s="108"/>
      <c r="CW5" s="108"/>
      <c r="CX5" s="77" t="s">
        <v>12</v>
      </c>
      <c r="CY5" s="99"/>
      <c r="CZ5" s="99"/>
      <c r="DA5" s="99"/>
      <c r="DB5" s="99"/>
      <c r="DC5" s="99"/>
      <c r="DD5" s="99"/>
      <c r="DE5" s="99"/>
      <c r="DF5" s="99"/>
      <c r="DG5" s="99"/>
      <c r="DH5" s="99"/>
      <c r="DI5" s="79"/>
      <c r="DJ5" s="79"/>
      <c r="DK5" s="99"/>
      <c r="DL5" s="79"/>
      <c r="DM5" s="107" t="s">
        <v>12</v>
      </c>
      <c r="DN5" s="107" t="s">
        <v>12</v>
      </c>
      <c r="DO5" s="107" t="s">
        <v>10</v>
      </c>
      <c r="DP5" s="108"/>
      <c r="DQ5" s="107" t="s">
        <v>10</v>
      </c>
      <c r="DR5" s="107" t="s">
        <v>12</v>
      </c>
      <c r="DS5" s="77" t="s">
        <v>12</v>
      </c>
      <c r="DT5" s="110"/>
      <c r="DU5" s="66" t="s">
        <v>14</v>
      </c>
      <c r="DV5" s="108"/>
      <c r="DW5" s="108"/>
      <c r="DX5" s="107" t="s">
        <v>10</v>
      </c>
      <c r="DY5" s="107" t="s">
        <v>12</v>
      </c>
      <c r="DZ5" s="77" t="s">
        <v>12</v>
      </c>
      <c r="EA5" s="108"/>
      <c r="EB5" s="108"/>
      <c r="EC5" s="108"/>
      <c r="ED5" s="107" t="s">
        <v>10</v>
      </c>
      <c r="EE5" s="107" t="s">
        <v>12</v>
      </c>
      <c r="EF5" s="107" t="s">
        <v>12</v>
      </c>
      <c r="EG5" s="64"/>
      <c r="EH5" s="107" t="s">
        <v>11</v>
      </c>
      <c r="EI5" s="107" t="s">
        <v>11</v>
      </c>
      <c r="EJ5" s="107" t="s">
        <v>11</v>
      </c>
      <c r="EK5" s="107" t="s">
        <v>11</v>
      </c>
      <c r="EL5" s="107" t="s">
        <v>12</v>
      </c>
      <c r="EM5" s="108"/>
      <c r="EN5" s="64"/>
      <c r="EO5" s="63"/>
      <c r="EP5" s="63" t="s">
        <v>14</v>
      </c>
      <c r="EQ5" s="63" t="s">
        <v>14</v>
      </c>
      <c r="ER5" s="63" t="s">
        <v>14</v>
      </c>
      <c r="ES5" s="63" t="s">
        <v>14</v>
      </c>
      <c r="ET5" s="63" t="s">
        <v>14</v>
      </c>
      <c r="EU5" s="62" t="s">
        <v>14</v>
      </c>
      <c r="EV5" s="107" t="s">
        <v>12</v>
      </c>
      <c r="EW5" s="107" t="s">
        <v>12</v>
      </c>
      <c r="EX5" s="112" t="s">
        <v>10</v>
      </c>
      <c r="EY5" s="111"/>
      <c r="EZ5" s="108"/>
      <c r="FA5" s="108"/>
      <c r="FB5" s="64"/>
      <c r="FC5" s="108"/>
      <c r="FD5" s="108"/>
      <c r="FE5" s="108"/>
      <c r="FF5" s="107" t="s">
        <v>10</v>
      </c>
      <c r="FG5" s="107" t="s">
        <v>12</v>
      </c>
      <c r="FH5" s="107" t="s">
        <v>12</v>
      </c>
      <c r="FI5" s="64"/>
      <c r="FJ5" s="107" t="s">
        <v>11</v>
      </c>
      <c r="FK5" s="107" t="s">
        <v>11</v>
      </c>
      <c r="FL5" s="107" t="s">
        <v>11</v>
      </c>
      <c r="FM5" s="107" t="s">
        <v>11</v>
      </c>
      <c r="FN5" s="107" t="s">
        <v>11</v>
      </c>
      <c r="FO5" s="108"/>
      <c r="FP5" s="64"/>
      <c r="FQ5" s="107" t="s">
        <v>10</v>
      </c>
      <c r="FR5" s="107" t="s">
        <v>10</v>
      </c>
      <c r="FS5" s="107" t="s">
        <v>12</v>
      </c>
      <c r="FT5" s="107" t="s">
        <v>12</v>
      </c>
      <c r="FU5" s="108"/>
      <c r="FV5" s="108"/>
      <c r="FW5" s="64"/>
      <c r="FX5" s="107" t="s">
        <v>10</v>
      </c>
      <c r="FY5" s="107" t="s">
        <v>10</v>
      </c>
      <c r="FZ5" s="107" t="s">
        <v>12</v>
      </c>
      <c r="GA5" s="107" t="s">
        <v>12</v>
      </c>
      <c r="GB5" s="108"/>
      <c r="GC5" s="110"/>
    </row>
    <row r="6" spans="1:185" x14ac:dyDescent="0.25">
      <c r="A6" s="61" t="s">
        <v>226</v>
      </c>
      <c r="B6" s="77" t="s">
        <v>12</v>
      </c>
      <c r="C6" s="107" t="s">
        <v>12</v>
      </c>
      <c r="D6" s="64"/>
      <c r="E6" s="107" t="s">
        <v>11</v>
      </c>
      <c r="F6" s="107" t="s">
        <v>11</v>
      </c>
      <c r="G6" s="107" t="s">
        <v>11</v>
      </c>
      <c r="H6" s="107" t="s">
        <v>11</v>
      </c>
      <c r="I6" s="107" t="s">
        <v>11</v>
      </c>
      <c r="J6" s="108"/>
      <c r="K6" s="64"/>
      <c r="L6" s="107" t="s">
        <v>10</v>
      </c>
      <c r="M6" s="107" t="s">
        <v>10</v>
      </c>
      <c r="N6" s="107" t="s">
        <v>12</v>
      </c>
      <c r="O6" s="107" t="s">
        <v>12</v>
      </c>
      <c r="P6" s="108"/>
      <c r="Q6" s="108"/>
      <c r="R6" s="77" t="s">
        <v>12</v>
      </c>
      <c r="S6" s="107" t="s">
        <v>10</v>
      </c>
      <c r="T6" s="107" t="s">
        <v>10</v>
      </c>
      <c r="U6" s="107" t="s">
        <v>12</v>
      </c>
      <c r="V6" s="107"/>
      <c r="W6" s="108"/>
      <c r="X6" s="108"/>
      <c r="Y6" s="64"/>
      <c r="Z6" s="107" t="s">
        <v>12</v>
      </c>
      <c r="AA6" s="107" t="s">
        <v>12</v>
      </c>
      <c r="AB6" s="107" t="s">
        <v>10</v>
      </c>
      <c r="AC6" s="108"/>
      <c r="AD6" s="108"/>
      <c r="AE6" s="79"/>
      <c r="AF6" s="82"/>
      <c r="AG6" s="83"/>
      <c r="AH6" s="79"/>
      <c r="AI6" s="79"/>
      <c r="AJ6" s="79"/>
      <c r="AK6" s="88"/>
      <c r="AL6" s="88"/>
      <c r="AM6" s="88"/>
      <c r="AN6" s="79"/>
      <c r="AO6" s="79"/>
      <c r="AP6" s="79"/>
      <c r="AQ6" s="79"/>
      <c r="AR6" s="107" t="s">
        <v>10</v>
      </c>
      <c r="AS6" s="107" t="s">
        <v>12</v>
      </c>
      <c r="AT6" s="77" t="s">
        <v>12</v>
      </c>
      <c r="AU6" s="108"/>
      <c r="AV6" s="108"/>
      <c r="AW6" s="108"/>
      <c r="AX6" s="107" t="s">
        <v>10</v>
      </c>
      <c r="AY6" s="107" t="s">
        <v>12</v>
      </c>
      <c r="AZ6" s="88"/>
      <c r="BA6" s="79"/>
      <c r="BB6" s="107" t="s">
        <v>11</v>
      </c>
      <c r="BC6" s="107" t="s">
        <v>11</v>
      </c>
      <c r="BD6" s="107" t="s">
        <v>11</v>
      </c>
      <c r="BE6" s="107" t="s">
        <v>11</v>
      </c>
      <c r="BF6" s="107" t="s">
        <v>11</v>
      </c>
      <c r="BG6" s="108"/>
      <c r="BH6" s="64"/>
      <c r="BI6" s="63" t="s">
        <v>14</v>
      </c>
      <c r="BJ6" s="71" t="s">
        <v>14</v>
      </c>
      <c r="BK6" s="66" t="s">
        <v>14</v>
      </c>
      <c r="BL6" s="63" t="s">
        <v>14</v>
      </c>
      <c r="BM6" s="63" t="s">
        <v>14</v>
      </c>
      <c r="BN6" s="63" t="s">
        <v>14</v>
      </c>
      <c r="BO6" s="77" t="s">
        <v>12</v>
      </c>
      <c r="BP6" s="107" t="s">
        <v>12</v>
      </c>
      <c r="BQ6" s="107" t="s">
        <v>12</v>
      </c>
      <c r="BR6" s="107" t="s">
        <v>10</v>
      </c>
      <c r="BS6" s="108"/>
      <c r="BT6" s="79"/>
      <c r="BU6" s="79"/>
      <c r="BV6" s="79"/>
      <c r="BW6" s="79"/>
      <c r="BX6" s="79"/>
      <c r="BY6" s="79"/>
      <c r="BZ6" s="107" t="s">
        <v>10</v>
      </c>
      <c r="CA6" s="107" t="s">
        <v>12</v>
      </c>
      <c r="CB6" s="107" t="s">
        <v>12</v>
      </c>
      <c r="CC6" s="77" t="s">
        <v>11</v>
      </c>
      <c r="CD6" s="107" t="s">
        <v>11</v>
      </c>
      <c r="CE6" s="107" t="s">
        <v>11</v>
      </c>
      <c r="CF6" s="107" t="s">
        <v>11</v>
      </c>
      <c r="CG6" s="107" t="s">
        <v>12</v>
      </c>
      <c r="CH6" s="107" t="s">
        <v>11</v>
      </c>
      <c r="CI6" s="108"/>
      <c r="CJ6" s="64"/>
      <c r="CK6" s="107" t="s">
        <v>10</v>
      </c>
      <c r="CL6" s="107" t="s">
        <v>12</v>
      </c>
      <c r="CM6" s="107" t="s">
        <v>12</v>
      </c>
      <c r="CN6" s="107" t="s">
        <v>12</v>
      </c>
      <c r="CO6" s="71" t="s">
        <v>14</v>
      </c>
      <c r="CP6" s="109" t="s">
        <v>12</v>
      </c>
      <c r="CQ6" s="77" t="s">
        <v>11</v>
      </c>
      <c r="CR6" s="107" t="s">
        <v>10</v>
      </c>
      <c r="CS6" s="107" t="s">
        <v>10</v>
      </c>
      <c r="CT6" s="107" t="s">
        <v>12</v>
      </c>
      <c r="CU6" s="107" t="s">
        <v>12</v>
      </c>
      <c r="CV6" s="108"/>
      <c r="CW6" s="108"/>
      <c r="CX6" s="64"/>
      <c r="CY6" s="107" t="s">
        <v>12</v>
      </c>
      <c r="CZ6" s="107" t="s">
        <v>12</v>
      </c>
      <c r="DA6" s="107" t="s">
        <v>10</v>
      </c>
      <c r="DB6" s="108"/>
      <c r="DC6" s="63" t="s">
        <v>14</v>
      </c>
      <c r="DD6" s="62" t="s">
        <v>14</v>
      </c>
      <c r="DE6" s="62" t="s">
        <v>14</v>
      </c>
      <c r="DF6" s="107" t="s">
        <v>12</v>
      </c>
      <c r="DG6" s="107" t="s">
        <v>12</v>
      </c>
      <c r="DH6" s="63" t="s">
        <v>14</v>
      </c>
      <c r="DI6" s="108"/>
      <c r="DJ6" s="107" t="s">
        <v>10</v>
      </c>
      <c r="DK6" s="107" t="s">
        <v>12</v>
      </c>
      <c r="DL6" s="77" t="s">
        <v>12</v>
      </c>
      <c r="DM6" s="108"/>
      <c r="DN6" s="108"/>
      <c r="DO6" s="108"/>
      <c r="DP6" s="108"/>
      <c r="DQ6" s="107" t="s">
        <v>10</v>
      </c>
      <c r="DR6" s="107" t="s">
        <v>12</v>
      </c>
      <c r="DS6" s="77" t="s">
        <v>12</v>
      </c>
      <c r="DT6" s="110"/>
      <c r="DU6" s="109" t="s">
        <v>12</v>
      </c>
      <c r="DV6" s="63" t="s">
        <v>14</v>
      </c>
      <c r="DW6" s="107" t="s">
        <v>10</v>
      </c>
      <c r="DX6" s="107" t="s">
        <v>12</v>
      </c>
      <c r="DY6" s="107" t="s">
        <v>12</v>
      </c>
      <c r="DZ6" s="64"/>
      <c r="EA6" s="107" t="s">
        <v>11</v>
      </c>
      <c r="EB6" s="107" t="s">
        <v>12</v>
      </c>
      <c r="EC6" s="107" t="s">
        <v>11</v>
      </c>
      <c r="ED6" s="107" t="s">
        <v>11</v>
      </c>
      <c r="EE6" s="107" t="s">
        <v>11</v>
      </c>
      <c r="EF6" s="107" t="s">
        <v>10</v>
      </c>
      <c r="EG6" s="64"/>
      <c r="EH6" s="63" t="s">
        <v>14</v>
      </c>
      <c r="EI6" s="63" t="s">
        <v>14</v>
      </c>
      <c r="EJ6" s="63" t="s">
        <v>14</v>
      </c>
      <c r="EK6" s="63" t="s">
        <v>14</v>
      </c>
      <c r="EL6" s="63" t="s">
        <v>14</v>
      </c>
      <c r="EM6" s="63" t="s">
        <v>14</v>
      </c>
      <c r="EN6" s="62" t="s">
        <v>14</v>
      </c>
      <c r="EO6" s="107" t="s">
        <v>12</v>
      </c>
      <c r="EP6" s="107" t="s">
        <v>12</v>
      </c>
      <c r="EQ6" s="107" t="s">
        <v>10</v>
      </c>
      <c r="ER6" s="108"/>
      <c r="ES6" s="79"/>
      <c r="ET6" s="79"/>
      <c r="EU6" s="79"/>
      <c r="EV6" s="79"/>
      <c r="EW6" s="79"/>
      <c r="EX6" s="82"/>
      <c r="EY6" s="109" t="s">
        <v>10</v>
      </c>
      <c r="EZ6" s="107" t="s">
        <v>12</v>
      </c>
      <c r="FA6" s="107" t="s">
        <v>12</v>
      </c>
      <c r="FB6" s="64"/>
      <c r="FC6" s="107" t="s">
        <v>11</v>
      </c>
      <c r="FD6" s="107" t="s">
        <v>11</v>
      </c>
      <c r="FE6" s="107" t="s">
        <v>11</v>
      </c>
      <c r="FF6" s="107" t="s">
        <v>11</v>
      </c>
      <c r="FG6" s="107" t="s">
        <v>11</v>
      </c>
      <c r="FH6" s="108"/>
      <c r="FI6" s="64"/>
      <c r="FJ6" s="107" t="s">
        <v>10</v>
      </c>
      <c r="FK6" s="107" t="s">
        <v>10</v>
      </c>
      <c r="FL6" s="107" t="s">
        <v>12</v>
      </c>
      <c r="FM6" s="107" t="s">
        <v>12</v>
      </c>
      <c r="FN6" s="108"/>
      <c r="FO6" s="108"/>
      <c r="FP6" s="64"/>
      <c r="FQ6" s="107" t="s">
        <v>10</v>
      </c>
      <c r="FR6" s="107" t="s">
        <v>10</v>
      </c>
      <c r="FS6" s="107" t="s">
        <v>12</v>
      </c>
      <c r="FT6" s="107" t="s">
        <v>12</v>
      </c>
      <c r="FU6" s="108"/>
      <c r="FV6" s="108"/>
      <c r="FW6" s="64"/>
      <c r="FX6" s="107" t="s">
        <v>12</v>
      </c>
      <c r="FY6" s="107" t="s">
        <v>12</v>
      </c>
      <c r="FZ6" s="107" t="s">
        <v>10</v>
      </c>
      <c r="GA6" s="108"/>
      <c r="GB6" s="108"/>
      <c r="GC6" s="110"/>
    </row>
    <row r="7" spans="1:185" x14ac:dyDescent="0.25">
      <c r="A7" s="61" t="s">
        <v>232</v>
      </c>
      <c r="B7" s="77"/>
      <c r="C7" s="108"/>
      <c r="D7" s="64"/>
      <c r="E7" s="107" t="s">
        <v>10</v>
      </c>
      <c r="F7" s="107" t="s">
        <v>10</v>
      </c>
      <c r="G7" s="107" t="s">
        <v>12</v>
      </c>
      <c r="H7" s="107" t="s">
        <v>12</v>
      </c>
      <c r="I7" s="108"/>
      <c r="J7" s="108"/>
      <c r="K7" s="64"/>
      <c r="L7" s="107" t="s">
        <v>10</v>
      </c>
      <c r="M7" s="107" t="s">
        <v>10</v>
      </c>
      <c r="N7" s="107" t="s">
        <v>12</v>
      </c>
      <c r="O7" s="107" t="s">
        <v>12</v>
      </c>
      <c r="P7" s="108"/>
      <c r="Q7" s="108"/>
      <c r="R7" s="64"/>
      <c r="S7" s="107" t="s">
        <v>12</v>
      </c>
      <c r="T7" s="107" t="s">
        <v>12</v>
      </c>
      <c r="U7" s="107" t="s">
        <v>10</v>
      </c>
      <c r="V7" s="108"/>
      <c r="W7" s="108"/>
      <c r="X7" s="108"/>
      <c r="Y7" s="64"/>
      <c r="Z7" s="108"/>
      <c r="AA7" s="108"/>
      <c r="AB7" s="108"/>
      <c r="AC7" s="108"/>
      <c r="AD7" s="107" t="s">
        <v>10</v>
      </c>
      <c r="AE7" s="107" t="s">
        <v>12</v>
      </c>
      <c r="AF7" s="78" t="s">
        <v>12</v>
      </c>
      <c r="AG7" s="111"/>
      <c r="AH7" s="64"/>
      <c r="AI7" s="108"/>
      <c r="AJ7" s="108"/>
      <c r="AK7" s="107" t="s">
        <v>10</v>
      </c>
      <c r="AL7" s="107" t="s">
        <v>12</v>
      </c>
      <c r="AM7" s="77" t="s">
        <v>12</v>
      </c>
      <c r="AN7" s="108"/>
      <c r="AO7" s="108"/>
      <c r="AP7" s="108"/>
      <c r="AQ7" s="107" t="s">
        <v>10</v>
      </c>
      <c r="AR7" s="107" t="s">
        <v>12</v>
      </c>
      <c r="AS7" s="107" t="s">
        <v>12</v>
      </c>
      <c r="AT7" s="64"/>
      <c r="AU7" s="107" t="s">
        <v>11</v>
      </c>
      <c r="AV7" s="107" t="s">
        <v>11</v>
      </c>
      <c r="AW7" s="107" t="s">
        <v>11</v>
      </c>
      <c r="AX7" s="107" t="s">
        <v>11</v>
      </c>
      <c r="AY7" s="107" t="s">
        <v>11</v>
      </c>
      <c r="AZ7" s="108"/>
      <c r="BA7" s="64"/>
      <c r="BB7" s="63" t="s">
        <v>14</v>
      </c>
      <c r="BC7" s="63" t="s">
        <v>14</v>
      </c>
      <c r="BD7" s="63" t="s">
        <v>14</v>
      </c>
      <c r="BE7" s="63" t="s">
        <v>14</v>
      </c>
      <c r="BF7" s="63" t="s">
        <v>14</v>
      </c>
      <c r="BG7" s="63" t="s">
        <v>14</v>
      </c>
      <c r="BH7" s="62" t="s">
        <v>14</v>
      </c>
      <c r="BI7" s="107" t="s">
        <v>12</v>
      </c>
      <c r="BJ7" s="112" t="s">
        <v>12</v>
      </c>
      <c r="BK7" s="109" t="s">
        <v>10</v>
      </c>
      <c r="BL7" s="108"/>
      <c r="BM7" s="108"/>
      <c r="BN7" s="107" t="s">
        <v>12</v>
      </c>
      <c r="BO7" s="64"/>
      <c r="BP7" s="108"/>
      <c r="BQ7" s="108"/>
      <c r="BR7" s="108"/>
      <c r="BS7" s="107" t="s">
        <v>10</v>
      </c>
      <c r="BT7" s="107" t="s">
        <v>12</v>
      </c>
      <c r="BU7" s="107" t="s">
        <v>12</v>
      </c>
      <c r="BV7" s="64"/>
      <c r="BW7" s="107" t="s">
        <v>11</v>
      </c>
      <c r="BX7" s="107" t="s">
        <v>11</v>
      </c>
      <c r="BY7" s="107" t="s">
        <v>12</v>
      </c>
      <c r="BZ7" s="107" t="s">
        <v>11</v>
      </c>
      <c r="CA7" s="107" t="s">
        <v>12</v>
      </c>
      <c r="CB7" s="108"/>
      <c r="CC7" s="64"/>
      <c r="CD7" s="107" t="s">
        <v>10</v>
      </c>
      <c r="CE7" s="107" t="s">
        <v>10</v>
      </c>
      <c r="CF7" s="107" t="s">
        <v>12</v>
      </c>
      <c r="CG7" s="107" t="s">
        <v>12</v>
      </c>
      <c r="CH7" s="108"/>
      <c r="CI7" s="108"/>
      <c r="CJ7" s="64"/>
      <c r="CK7" s="107" t="s">
        <v>12</v>
      </c>
      <c r="CL7" s="107" t="s">
        <v>10</v>
      </c>
      <c r="CM7" s="107" t="s">
        <v>12</v>
      </c>
      <c r="CN7" s="107" t="s">
        <v>12</v>
      </c>
      <c r="CO7" s="110"/>
      <c r="CP7" s="66" t="s">
        <v>14</v>
      </c>
      <c r="CQ7" s="77" t="s">
        <v>12</v>
      </c>
      <c r="CR7" s="107" t="s">
        <v>12</v>
      </c>
      <c r="CS7" s="107" t="s">
        <v>12</v>
      </c>
      <c r="CT7" s="107" t="s">
        <v>10</v>
      </c>
      <c r="CU7" s="79"/>
      <c r="CV7" s="79"/>
      <c r="CW7" s="79"/>
      <c r="CX7" s="79"/>
      <c r="CY7" s="99"/>
      <c r="CZ7" s="99"/>
      <c r="DA7" s="99"/>
      <c r="DB7" s="99"/>
      <c r="DC7" s="99"/>
      <c r="DD7" s="99"/>
      <c r="DE7" s="99"/>
      <c r="DF7" s="99"/>
      <c r="DG7" s="99"/>
      <c r="DH7" s="99"/>
      <c r="DI7" s="79"/>
      <c r="DJ7" s="107" t="s">
        <v>10</v>
      </c>
      <c r="DK7" s="107" t="s">
        <v>12</v>
      </c>
      <c r="DL7" s="77" t="s">
        <v>12</v>
      </c>
      <c r="DM7" s="108"/>
      <c r="DN7" s="108"/>
      <c r="DO7" s="108"/>
      <c r="DP7" s="107" t="s">
        <v>10</v>
      </c>
      <c r="DQ7" s="107" t="s">
        <v>12</v>
      </c>
      <c r="DR7" s="107" t="s">
        <v>12</v>
      </c>
      <c r="DS7" s="64"/>
      <c r="DT7" s="112" t="s">
        <v>12</v>
      </c>
      <c r="DU7" s="109" t="s">
        <v>11</v>
      </c>
      <c r="DV7" s="107" t="s">
        <v>12</v>
      </c>
      <c r="DW7" s="107" t="s">
        <v>11</v>
      </c>
      <c r="DX7" s="107" t="s">
        <v>11</v>
      </c>
      <c r="DY7" s="108"/>
      <c r="DZ7" s="64"/>
      <c r="EA7" s="63" t="s">
        <v>14</v>
      </c>
      <c r="EB7" s="63" t="s">
        <v>14</v>
      </c>
      <c r="EC7" s="63" t="s">
        <v>14</v>
      </c>
      <c r="ED7" s="63" t="s">
        <v>14</v>
      </c>
      <c r="EE7" s="63" t="s">
        <v>14</v>
      </c>
      <c r="EF7" s="63" t="s">
        <v>14</v>
      </c>
      <c r="EG7" s="62" t="s">
        <v>14</v>
      </c>
      <c r="EH7" s="107"/>
      <c r="EI7" s="107"/>
      <c r="EJ7" s="107" t="s">
        <v>10</v>
      </c>
      <c r="EK7" s="108"/>
      <c r="EL7" s="107" t="s">
        <v>12</v>
      </c>
      <c r="EM7" s="107" t="s">
        <v>12</v>
      </c>
      <c r="EN7" s="64"/>
      <c r="EO7" s="108"/>
      <c r="EP7" s="108"/>
      <c r="EQ7" s="108"/>
      <c r="ER7" s="107" t="s">
        <v>10</v>
      </c>
      <c r="ES7" s="107" t="s">
        <v>12</v>
      </c>
      <c r="ET7" s="107" t="s">
        <v>12</v>
      </c>
      <c r="EU7" s="64"/>
      <c r="EV7" s="107" t="s">
        <v>11</v>
      </c>
      <c r="EW7" s="107" t="s">
        <v>11</v>
      </c>
      <c r="EX7" s="112" t="s">
        <v>11</v>
      </c>
      <c r="EY7" s="109" t="s">
        <v>11</v>
      </c>
      <c r="EZ7" s="107" t="s">
        <v>11</v>
      </c>
      <c r="FA7" s="108"/>
      <c r="FB7" s="64"/>
      <c r="FC7" s="107" t="s">
        <v>10</v>
      </c>
      <c r="FD7" s="107" t="s">
        <v>10</v>
      </c>
      <c r="FE7" s="107" t="s">
        <v>12</v>
      </c>
      <c r="FF7" s="107" t="s">
        <v>12</v>
      </c>
      <c r="FG7" s="108"/>
      <c r="FH7" s="108"/>
      <c r="FI7" s="64"/>
      <c r="FJ7" s="107" t="s">
        <v>10</v>
      </c>
      <c r="FK7" s="107" t="s">
        <v>10</v>
      </c>
      <c r="FL7" s="107" t="s">
        <v>12</v>
      </c>
      <c r="FM7" s="107" t="s">
        <v>12</v>
      </c>
      <c r="FN7" s="108"/>
      <c r="FO7" s="108"/>
      <c r="FP7" s="64"/>
      <c r="FQ7" s="107" t="s">
        <v>12</v>
      </c>
      <c r="FR7" s="107" t="s">
        <v>12</v>
      </c>
      <c r="FS7" s="107" t="s">
        <v>10</v>
      </c>
      <c r="FT7" s="108"/>
      <c r="FU7" s="108"/>
      <c r="FV7" s="63" t="s">
        <v>14</v>
      </c>
      <c r="FW7" s="64"/>
      <c r="FX7" s="108"/>
      <c r="FY7" s="108"/>
      <c r="FZ7" s="108"/>
      <c r="GA7" s="108"/>
      <c r="GB7" s="107" t="s">
        <v>10</v>
      </c>
      <c r="GC7" s="112" t="s">
        <v>12</v>
      </c>
    </row>
    <row r="8" spans="1:185" x14ac:dyDescent="0.25">
      <c r="A8" s="61" t="s">
        <v>229</v>
      </c>
      <c r="B8" s="64"/>
      <c r="C8" s="108"/>
      <c r="D8" s="64"/>
      <c r="E8" s="107" t="s">
        <v>10</v>
      </c>
      <c r="F8" s="107" t="s">
        <v>10</v>
      </c>
      <c r="G8" s="107" t="s">
        <v>12</v>
      </c>
      <c r="H8" s="107" t="s">
        <v>12</v>
      </c>
      <c r="I8" s="108"/>
      <c r="J8" s="108"/>
      <c r="K8" s="64"/>
      <c r="L8" s="107" t="s">
        <v>12</v>
      </c>
      <c r="M8" s="107" t="s">
        <v>12</v>
      </c>
      <c r="N8" s="107" t="s">
        <v>10</v>
      </c>
      <c r="O8" s="108"/>
      <c r="P8" s="108"/>
      <c r="Q8" s="108"/>
      <c r="R8" s="64"/>
      <c r="S8" s="108"/>
      <c r="T8" s="108"/>
      <c r="U8" s="108"/>
      <c r="V8" s="108"/>
      <c r="W8" s="107" t="s">
        <v>10</v>
      </c>
      <c r="X8" s="107" t="s">
        <v>12</v>
      </c>
      <c r="Y8" s="77" t="s">
        <v>12</v>
      </c>
      <c r="Z8" s="108"/>
      <c r="AA8" s="108"/>
      <c r="AB8" s="108"/>
      <c r="AC8" s="108"/>
      <c r="AD8" s="107" t="s">
        <v>10</v>
      </c>
      <c r="AE8" s="107" t="s">
        <v>12</v>
      </c>
      <c r="AF8" s="78" t="s">
        <v>12</v>
      </c>
      <c r="AG8" s="111"/>
      <c r="AH8" s="64"/>
      <c r="AI8" s="108"/>
      <c r="AJ8" s="107" t="s">
        <v>10</v>
      </c>
      <c r="AK8" s="107" t="s">
        <v>12</v>
      </c>
      <c r="AL8" s="107" t="s">
        <v>12</v>
      </c>
      <c r="AM8" s="64"/>
      <c r="AN8" s="107" t="s">
        <v>11</v>
      </c>
      <c r="AO8" s="107" t="s">
        <v>11</v>
      </c>
      <c r="AP8" s="107" t="s">
        <v>11</v>
      </c>
      <c r="AQ8" s="107" t="s">
        <v>11</v>
      </c>
      <c r="AR8" s="107" t="s">
        <v>11</v>
      </c>
      <c r="AS8" s="108"/>
      <c r="AT8" s="64"/>
      <c r="AU8" s="63" t="s">
        <v>14</v>
      </c>
      <c r="AV8" s="63" t="s">
        <v>14</v>
      </c>
      <c r="AW8" s="63" t="s">
        <v>14</v>
      </c>
      <c r="AX8" s="63" t="s">
        <v>14</v>
      </c>
      <c r="AY8" s="63" t="s">
        <v>14</v>
      </c>
      <c r="AZ8" s="107" t="s">
        <v>12</v>
      </c>
      <c r="BA8" s="62" t="s">
        <v>14</v>
      </c>
      <c r="BB8" s="107" t="s">
        <v>12</v>
      </c>
      <c r="BC8" s="107" t="s">
        <v>12</v>
      </c>
      <c r="BD8" s="107" t="s">
        <v>10</v>
      </c>
      <c r="BE8" s="108"/>
      <c r="BF8" s="108"/>
      <c r="BG8" s="108"/>
      <c r="BH8" s="64"/>
      <c r="BI8" s="108"/>
      <c r="BJ8" s="110"/>
      <c r="BK8" s="111"/>
      <c r="BL8" s="107" t="s">
        <v>10</v>
      </c>
      <c r="BM8" s="107" t="s">
        <v>12</v>
      </c>
      <c r="BN8" s="107" t="s">
        <v>12</v>
      </c>
      <c r="BO8" s="64"/>
      <c r="BP8" s="107" t="s">
        <v>11</v>
      </c>
      <c r="BQ8" s="107" t="s">
        <v>12</v>
      </c>
      <c r="BR8" s="107" t="s">
        <v>11</v>
      </c>
      <c r="BS8" s="107" t="s">
        <v>11</v>
      </c>
      <c r="BT8" s="107" t="s">
        <v>11</v>
      </c>
      <c r="BU8" s="108"/>
      <c r="BV8" s="64"/>
      <c r="BW8" s="107" t="s">
        <v>10</v>
      </c>
      <c r="BX8" s="107" t="s">
        <v>10</v>
      </c>
      <c r="BY8" s="107" t="s">
        <v>12</v>
      </c>
      <c r="BZ8" s="107" t="s">
        <v>12</v>
      </c>
      <c r="CA8" s="108"/>
      <c r="CB8" s="107" t="s">
        <v>12</v>
      </c>
      <c r="CC8" s="64"/>
      <c r="CD8" s="107" t="s">
        <v>10</v>
      </c>
      <c r="CE8" s="107" t="s">
        <v>10</v>
      </c>
      <c r="CF8" s="107" t="s">
        <v>12</v>
      </c>
      <c r="CG8" s="107" t="s">
        <v>12</v>
      </c>
      <c r="CH8" s="108"/>
      <c r="CI8" s="108"/>
      <c r="CJ8" s="64"/>
      <c r="CK8" s="99"/>
      <c r="CL8" s="99"/>
      <c r="CM8" s="99"/>
      <c r="CN8" s="99"/>
      <c r="CO8" s="99"/>
      <c r="CP8" s="99"/>
      <c r="CQ8" s="99"/>
      <c r="CR8" s="99"/>
      <c r="CS8" s="99"/>
      <c r="CT8" s="99"/>
      <c r="CU8" s="79"/>
      <c r="CV8" s="88"/>
      <c r="CW8" s="88"/>
      <c r="CX8" s="88"/>
      <c r="CY8" s="63" t="s">
        <v>14</v>
      </c>
      <c r="CZ8" s="63" t="s">
        <v>14</v>
      </c>
      <c r="DA8" s="107" t="s">
        <v>10</v>
      </c>
      <c r="DB8" s="63" t="s">
        <v>14</v>
      </c>
      <c r="DC8" s="107" t="s">
        <v>10</v>
      </c>
      <c r="DD8" s="77" t="s">
        <v>12</v>
      </c>
      <c r="DE8" s="77" t="s">
        <v>12</v>
      </c>
      <c r="DF8" s="63" t="s">
        <v>14</v>
      </c>
      <c r="DG8" s="63" t="s">
        <v>14</v>
      </c>
      <c r="DH8" s="107" t="s">
        <v>10</v>
      </c>
      <c r="DI8" s="107" t="s">
        <v>10</v>
      </c>
      <c r="DJ8" s="107" t="s">
        <v>12</v>
      </c>
      <c r="DK8" s="107" t="s">
        <v>12</v>
      </c>
      <c r="DL8" s="64"/>
      <c r="DM8" s="107" t="s">
        <v>11</v>
      </c>
      <c r="DN8" s="107" t="s">
        <v>11</v>
      </c>
      <c r="DO8" s="107" t="s">
        <v>11</v>
      </c>
      <c r="DP8" s="107" t="s">
        <v>11</v>
      </c>
      <c r="DQ8" s="107" t="s">
        <v>11</v>
      </c>
      <c r="DR8" s="108"/>
      <c r="DS8" s="64"/>
      <c r="DT8" s="71" t="s">
        <v>14</v>
      </c>
      <c r="DU8" s="109" t="s">
        <v>10</v>
      </c>
      <c r="DV8" s="63"/>
      <c r="DW8" s="63" t="s">
        <v>14</v>
      </c>
      <c r="DX8" s="63" t="s">
        <v>14</v>
      </c>
      <c r="DY8" s="63" t="s">
        <v>14</v>
      </c>
      <c r="DZ8" s="62" t="s">
        <v>14</v>
      </c>
      <c r="EA8" s="107" t="s">
        <v>12</v>
      </c>
      <c r="EB8" s="107" t="s">
        <v>12</v>
      </c>
      <c r="EC8" s="107" t="s">
        <v>10</v>
      </c>
      <c r="ED8" s="108"/>
      <c r="EE8" s="107" t="s">
        <v>10</v>
      </c>
      <c r="EF8" s="108"/>
      <c r="EG8" s="64"/>
      <c r="EH8" s="107" t="s">
        <v>12</v>
      </c>
      <c r="EI8" s="107" t="s">
        <v>12</v>
      </c>
      <c r="EJ8" s="108"/>
      <c r="EK8" s="107" t="s">
        <v>10</v>
      </c>
      <c r="EL8" s="88"/>
      <c r="EM8" s="88"/>
      <c r="EN8" s="79"/>
      <c r="EO8" s="107" t="s">
        <v>11</v>
      </c>
      <c r="EP8" s="107" t="s">
        <v>11</v>
      </c>
      <c r="EQ8" s="107" t="s">
        <v>11</v>
      </c>
      <c r="ER8" s="107" t="s">
        <v>11</v>
      </c>
      <c r="ES8" s="107" t="s">
        <v>11</v>
      </c>
      <c r="ET8" s="108"/>
      <c r="EU8" s="64"/>
      <c r="EV8" s="107" t="s">
        <v>10</v>
      </c>
      <c r="EW8" s="107" t="s">
        <v>10</v>
      </c>
      <c r="EX8" s="112" t="s">
        <v>12</v>
      </c>
      <c r="EY8" s="109" t="s">
        <v>12</v>
      </c>
      <c r="EZ8" s="108"/>
      <c r="FA8" s="108"/>
      <c r="FB8" s="64"/>
      <c r="FC8" s="107" t="s">
        <v>10</v>
      </c>
      <c r="FD8" s="107" t="s">
        <v>10</v>
      </c>
      <c r="FE8" s="107" t="s">
        <v>12</v>
      </c>
      <c r="FF8" s="107" t="s">
        <v>12</v>
      </c>
      <c r="FG8" s="108"/>
      <c r="FH8" s="108"/>
      <c r="FI8" s="64"/>
      <c r="FJ8" s="107" t="s">
        <v>12</v>
      </c>
      <c r="FK8" s="107" t="s">
        <v>12</v>
      </c>
      <c r="FL8" s="107" t="s">
        <v>10</v>
      </c>
      <c r="FM8" s="108"/>
      <c r="FN8" s="108"/>
      <c r="FO8" s="108"/>
      <c r="FP8" s="64"/>
      <c r="FQ8" s="108"/>
      <c r="FR8" s="108"/>
      <c r="FS8" s="108"/>
      <c r="FT8" s="108"/>
      <c r="FU8" s="107" t="s">
        <v>10</v>
      </c>
      <c r="FV8" s="107" t="s">
        <v>12</v>
      </c>
      <c r="FW8" s="77" t="s">
        <v>12</v>
      </c>
      <c r="FX8" s="108"/>
      <c r="FY8" s="108"/>
      <c r="FZ8" s="108"/>
      <c r="GA8" s="108"/>
      <c r="GB8" s="107" t="s">
        <v>10</v>
      </c>
      <c r="GC8" s="112" t="s">
        <v>12</v>
      </c>
    </row>
    <row r="9" spans="1:185" x14ac:dyDescent="0.25">
      <c r="A9" s="61" t="s">
        <v>235</v>
      </c>
      <c r="B9" s="64"/>
      <c r="C9" s="108"/>
      <c r="D9" s="64"/>
      <c r="E9" s="107"/>
      <c r="F9" s="107" t="s">
        <v>12</v>
      </c>
      <c r="G9" s="107" t="s">
        <v>10</v>
      </c>
      <c r="H9" s="108"/>
      <c r="I9" s="108"/>
      <c r="J9" s="108"/>
      <c r="K9" s="64"/>
      <c r="L9" s="108"/>
      <c r="M9" s="108"/>
      <c r="N9" s="108"/>
      <c r="O9" s="108"/>
      <c r="P9" s="107" t="s">
        <v>10</v>
      </c>
      <c r="Q9" s="107" t="s">
        <v>12</v>
      </c>
      <c r="R9" s="77" t="s">
        <v>12</v>
      </c>
      <c r="S9" s="108"/>
      <c r="T9" s="108"/>
      <c r="U9" s="108"/>
      <c r="V9" s="108"/>
      <c r="W9" s="107" t="s">
        <v>10</v>
      </c>
      <c r="X9" s="107" t="s">
        <v>12</v>
      </c>
      <c r="Y9" s="77" t="s">
        <v>12</v>
      </c>
      <c r="Z9" s="108"/>
      <c r="AA9" s="108"/>
      <c r="AB9" s="108"/>
      <c r="AC9" s="107" t="s">
        <v>10</v>
      </c>
      <c r="AD9" s="107" t="s">
        <v>12</v>
      </c>
      <c r="AE9" s="107" t="s">
        <v>12</v>
      </c>
      <c r="AF9" s="68"/>
      <c r="AG9" s="109" t="s">
        <v>11</v>
      </c>
      <c r="AH9" s="77"/>
      <c r="AI9" s="107" t="s">
        <v>11</v>
      </c>
      <c r="AJ9" s="107" t="s">
        <v>11</v>
      </c>
      <c r="AK9" s="107" t="s">
        <v>11</v>
      </c>
      <c r="AL9" s="108"/>
      <c r="AM9" s="77" t="s">
        <v>11</v>
      </c>
      <c r="AN9" s="63" t="s">
        <v>14</v>
      </c>
      <c r="AO9" s="63" t="s">
        <v>14</v>
      </c>
      <c r="AP9" s="63" t="s">
        <v>14</v>
      </c>
      <c r="AQ9" s="63" t="s">
        <v>14</v>
      </c>
      <c r="AR9" s="63" t="s">
        <v>14</v>
      </c>
      <c r="AS9" s="63" t="s">
        <v>14</v>
      </c>
      <c r="AT9" s="62" t="s">
        <v>14</v>
      </c>
      <c r="AU9" s="107" t="s">
        <v>12</v>
      </c>
      <c r="AV9" s="107" t="s">
        <v>12</v>
      </c>
      <c r="AW9" s="107" t="s">
        <v>10</v>
      </c>
      <c r="AX9" s="108"/>
      <c r="AY9" s="108"/>
      <c r="AZ9" s="108"/>
      <c r="BA9" s="64"/>
      <c r="BB9" s="108"/>
      <c r="BC9" s="108"/>
      <c r="BD9" s="108"/>
      <c r="BE9" s="107" t="s">
        <v>10</v>
      </c>
      <c r="BF9" s="107" t="s">
        <v>12</v>
      </c>
      <c r="BG9" s="107" t="s">
        <v>12</v>
      </c>
      <c r="BH9" s="64"/>
      <c r="BI9" s="107" t="s">
        <v>11</v>
      </c>
      <c r="BJ9" s="112" t="s">
        <v>11</v>
      </c>
      <c r="BK9" s="109" t="s">
        <v>11</v>
      </c>
      <c r="BL9" s="107" t="s">
        <v>11</v>
      </c>
      <c r="BM9" s="107" t="s">
        <v>12</v>
      </c>
      <c r="BN9" s="108"/>
      <c r="BO9" s="64"/>
      <c r="BP9" s="107" t="s">
        <v>10</v>
      </c>
      <c r="BQ9" s="107" t="s">
        <v>10</v>
      </c>
      <c r="BR9" s="107" t="s">
        <v>12</v>
      </c>
      <c r="BS9" s="107" t="s">
        <v>12</v>
      </c>
      <c r="BT9" s="108"/>
      <c r="BU9" s="108"/>
      <c r="BV9" s="64"/>
      <c r="BW9" s="107" t="s">
        <v>10</v>
      </c>
      <c r="BX9" s="107" t="s">
        <v>10</v>
      </c>
      <c r="BY9" s="107" t="s">
        <v>12</v>
      </c>
      <c r="BZ9" s="107" t="s">
        <v>12</v>
      </c>
      <c r="CA9" s="108"/>
      <c r="CB9" s="63" t="s">
        <v>14</v>
      </c>
      <c r="CC9" s="62" t="s">
        <v>14</v>
      </c>
      <c r="CD9" s="107" t="s">
        <v>12</v>
      </c>
      <c r="CE9" s="107" t="s">
        <v>12</v>
      </c>
      <c r="CF9" s="107" t="s">
        <v>10</v>
      </c>
      <c r="CG9" s="106"/>
      <c r="CH9" s="81"/>
      <c r="CI9" s="79"/>
      <c r="CJ9" s="79"/>
      <c r="CK9" s="99"/>
      <c r="CL9" s="99"/>
      <c r="CM9" s="99"/>
      <c r="CN9" s="99"/>
      <c r="CO9" s="99"/>
      <c r="CP9" s="99"/>
      <c r="CQ9" s="99"/>
      <c r="CR9" s="108"/>
      <c r="CS9" s="108"/>
      <c r="CT9" s="108"/>
      <c r="CU9" s="108"/>
      <c r="CV9" s="107" t="s">
        <v>10</v>
      </c>
      <c r="CW9" s="107" t="s">
        <v>12</v>
      </c>
      <c r="CX9" s="77" t="s">
        <v>12</v>
      </c>
      <c r="CY9" s="108"/>
      <c r="CZ9" s="108"/>
      <c r="DA9" s="108"/>
      <c r="DB9" s="107" t="s">
        <v>12</v>
      </c>
      <c r="DC9" s="107" t="s">
        <v>12</v>
      </c>
      <c r="DD9" s="77" t="s">
        <v>12</v>
      </c>
      <c r="DE9" s="64"/>
      <c r="DF9" s="107" t="s">
        <v>11</v>
      </c>
      <c r="DG9" s="107" t="s">
        <v>11</v>
      </c>
      <c r="DH9" s="107" t="s">
        <v>11</v>
      </c>
      <c r="DI9" s="107" t="s">
        <v>11</v>
      </c>
      <c r="DJ9" s="107" t="s">
        <v>11</v>
      </c>
      <c r="DK9" s="108"/>
      <c r="DL9" s="64"/>
      <c r="DM9" s="63" t="s">
        <v>14</v>
      </c>
      <c r="DN9" s="63" t="s">
        <v>14</v>
      </c>
      <c r="DO9" s="63" t="s">
        <v>14</v>
      </c>
      <c r="DP9" s="63" t="s">
        <v>14</v>
      </c>
      <c r="DQ9" s="63" t="s">
        <v>14</v>
      </c>
      <c r="DR9" s="63" t="s">
        <v>14</v>
      </c>
      <c r="DS9" s="62" t="s">
        <v>14</v>
      </c>
      <c r="DT9" s="99"/>
      <c r="DU9" s="99"/>
      <c r="DV9" s="99"/>
      <c r="DW9" s="99"/>
      <c r="DX9" s="79"/>
      <c r="DY9" s="108"/>
      <c r="DZ9" s="64"/>
      <c r="EA9" s="108"/>
      <c r="EB9" s="108"/>
      <c r="EC9" s="108"/>
      <c r="ED9" s="107" t="s">
        <v>10</v>
      </c>
      <c r="EE9" s="107" t="s">
        <v>12</v>
      </c>
      <c r="EF9" s="107" t="s">
        <v>12</v>
      </c>
      <c r="EG9" s="64"/>
      <c r="EH9" s="107" t="s">
        <v>11</v>
      </c>
      <c r="EI9" s="107" t="s">
        <v>11</v>
      </c>
      <c r="EJ9" s="107" t="s">
        <v>11</v>
      </c>
      <c r="EK9" s="107" t="s">
        <v>11</v>
      </c>
      <c r="EL9" s="107" t="s">
        <v>11</v>
      </c>
      <c r="EM9" s="108"/>
      <c r="EN9" s="64"/>
      <c r="EO9" s="107" t="s">
        <v>10</v>
      </c>
      <c r="EP9" s="107" t="s">
        <v>10</v>
      </c>
      <c r="EQ9" s="107" t="s">
        <v>12</v>
      </c>
      <c r="ER9" s="107" t="s">
        <v>12</v>
      </c>
      <c r="ES9" s="108"/>
      <c r="ET9" s="108"/>
      <c r="EU9" s="64"/>
      <c r="EV9" s="107" t="s">
        <v>10</v>
      </c>
      <c r="EW9" s="107" t="s">
        <v>10</v>
      </c>
      <c r="EX9" s="112" t="s">
        <v>12</v>
      </c>
      <c r="EY9" s="109" t="s">
        <v>12</v>
      </c>
      <c r="EZ9" s="108"/>
      <c r="FA9" s="108"/>
      <c r="FB9" s="64"/>
      <c r="FC9" s="107" t="s">
        <v>12</v>
      </c>
      <c r="FD9" s="107" t="s">
        <v>12</v>
      </c>
      <c r="FE9" s="107" t="s">
        <v>10</v>
      </c>
      <c r="FF9" s="108"/>
      <c r="FG9" s="108"/>
      <c r="FH9" s="108"/>
      <c r="FI9" s="64"/>
      <c r="FJ9" s="108"/>
      <c r="FK9" s="108"/>
      <c r="FL9" s="108"/>
      <c r="FM9" s="108"/>
      <c r="FN9" s="107" t="s">
        <v>10</v>
      </c>
      <c r="FO9" s="107" t="s">
        <v>12</v>
      </c>
      <c r="FP9" s="77" t="s">
        <v>12</v>
      </c>
      <c r="FQ9" s="108"/>
      <c r="FR9" s="108"/>
      <c r="FS9" s="108"/>
      <c r="FT9" s="108"/>
      <c r="FU9" s="88"/>
      <c r="FV9" s="88"/>
      <c r="FW9" s="88"/>
      <c r="FX9" s="79"/>
      <c r="FY9" s="108"/>
      <c r="FZ9" s="108"/>
      <c r="GA9" s="107" t="s">
        <v>10</v>
      </c>
      <c r="GB9" s="107" t="s">
        <v>12</v>
      </c>
      <c r="GC9" s="112" t="s">
        <v>12</v>
      </c>
    </row>
    <row r="10" spans="1:185" x14ac:dyDescent="0.25">
      <c r="A10" s="61" t="s">
        <v>228</v>
      </c>
      <c r="B10" s="64"/>
      <c r="C10" s="108"/>
      <c r="D10" s="64"/>
      <c r="E10" s="107" t="s">
        <v>12</v>
      </c>
      <c r="F10" s="108"/>
      <c r="G10" s="108"/>
      <c r="H10" s="108"/>
      <c r="I10" s="107" t="s">
        <v>10</v>
      </c>
      <c r="J10" s="107" t="s">
        <v>12</v>
      </c>
      <c r="K10" s="77" t="s">
        <v>12</v>
      </c>
      <c r="L10" s="108"/>
      <c r="M10" s="108"/>
      <c r="N10" s="108"/>
      <c r="O10" s="108"/>
      <c r="P10" s="107" t="s">
        <v>10</v>
      </c>
      <c r="Q10" s="107" t="s">
        <v>12</v>
      </c>
      <c r="R10" s="88"/>
      <c r="S10" s="108"/>
      <c r="T10" s="108"/>
      <c r="U10" s="108"/>
      <c r="V10" s="107" t="s">
        <v>12</v>
      </c>
      <c r="W10" s="107" t="s">
        <v>12</v>
      </c>
      <c r="X10" s="107" t="s">
        <v>12</v>
      </c>
      <c r="Y10" s="64"/>
      <c r="Z10" s="107" t="s">
        <v>11</v>
      </c>
      <c r="AA10" s="107" t="s">
        <v>11</v>
      </c>
      <c r="AB10" s="107" t="s">
        <v>11</v>
      </c>
      <c r="AC10" s="107" t="s">
        <v>11</v>
      </c>
      <c r="AD10" s="107" t="s">
        <v>11</v>
      </c>
      <c r="AE10" s="108"/>
      <c r="AF10" s="68"/>
      <c r="AG10" s="66" t="s">
        <v>14</v>
      </c>
      <c r="AH10" s="62" t="s">
        <v>14</v>
      </c>
      <c r="AI10" s="63" t="s">
        <v>14</v>
      </c>
      <c r="AJ10" s="63" t="s">
        <v>14</v>
      </c>
      <c r="AK10" s="63" t="s">
        <v>14</v>
      </c>
      <c r="AL10" s="107" t="s">
        <v>12</v>
      </c>
      <c r="AM10" s="62" t="s">
        <v>14</v>
      </c>
      <c r="AN10" s="107" t="s">
        <v>12</v>
      </c>
      <c r="AO10" s="107" t="s">
        <v>12</v>
      </c>
      <c r="AP10" s="107" t="s">
        <v>10</v>
      </c>
      <c r="AQ10" s="108"/>
      <c r="AR10" s="108"/>
      <c r="AS10" s="108"/>
      <c r="AT10" s="64"/>
      <c r="AU10" s="108"/>
      <c r="AV10" s="108"/>
      <c r="AW10" s="108"/>
      <c r="AX10" s="107" t="s">
        <v>10</v>
      </c>
      <c r="AY10" s="107" t="s">
        <v>12</v>
      </c>
      <c r="AZ10" s="107" t="s">
        <v>12</v>
      </c>
      <c r="BA10" s="64"/>
      <c r="BB10" s="107" t="s">
        <v>11</v>
      </c>
      <c r="BC10" s="107" t="s">
        <v>11</v>
      </c>
      <c r="BD10" s="107" t="s">
        <v>11</v>
      </c>
      <c r="BE10" s="107" t="s">
        <v>11</v>
      </c>
      <c r="BF10" s="107" t="s">
        <v>11</v>
      </c>
      <c r="BG10" s="108"/>
      <c r="BH10" s="64"/>
      <c r="BI10" s="107" t="s">
        <v>10</v>
      </c>
      <c r="BJ10" s="112" t="s">
        <v>10</v>
      </c>
      <c r="BK10" s="109" t="s">
        <v>12</v>
      </c>
      <c r="BL10" s="107" t="s">
        <v>12</v>
      </c>
      <c r="BM10" s="108"/>
      <c r="BN10" s="107" t="s">
        <v>12</v>
      </c>
      <c r="BO10" s="64"/>
      <c r="BP10" s="107" t="s">
        <v>10</v>
      </c>
      <c r="BQ10" s="107" t="s">
        <v>12</v>
      </c>
      <c r="BR10" s="107" t="s">
        <v>12</v>
      </c>
      <c r="BS10" s="107" t="s">
        <v>12</v>
      </c>
      <c r="BT10" s="108"/>
      <c r="BU10" s="108"/>
      <c r="BV10" s="64"/>
      <c r="BW10" s="107" t="s">
        <v>12</v>
      </c>
      <c r="BX10" s="107" t="s">
        <v>12</v>
      </c>
      <c r="BY10" s="107" t="s">
        <v>10</v>
      </c>
      <c r="BZ10" s="108"/>
      <c r="CA10" s="99"/>
      <c r="CB10" s="99"/>
      <c r="CC10" s="99"/>
      <c r="CD10" s="99"/>
      <c r="CE10" s="99"/>
      <c r="CF10" s="99"/>
      <c r="CG10" s="106"/>
      <c r="CH10" s="80" t="s">
        <v>10</v>
      </c>
      <c r="CI10" s="107" t="s">
        <v>12</v>
      </c>
      <c r="CJ10" s="77" t="s">
        <v>12</v>
      </c>
      <c r="CK10" s="99"/>
      <c r="CL10" s="99"/>
      <c r="CM10" s="99"/>
      <c r="CN10" s="99"/>
      <c r="CO10" s="99"/>
      <c r="CP10" s="99"/>
      <c r="CQ10" s="99"/>
      <c r="CR10" s="99"/>
      <c r="CS10" s="99"/>
      <c r="CT10" s="99"/>
      <c r="CU10" s="107" t="s">
        <v>10</v>
      </c>
      <c r="CV10" s="107" t="s">
        <v>12</v>
      </c>
      <c r="CW10" s="107" t="s">
        <v>12</v>
      </c>
      <c r="CX10" s="64"/>
      <c r="CY10" s="107" t="s">
        <v>11</v>
      </c>
      <c r="CZ10" s="107" t="s">
        <v>12</v>
      </c>
      <c r="DA10" s="107" t="s">
        <v>11</v>
      </c>
      <c r="DB10" s="107" t="s">
        <v>12</v>
      </c>
      <c r="DC10" s="107" t="s">
        <v>11</v>
      </c>
      <c r="DD10" s="64"/>
      <c r="DE10" s="77" t="s">
        <v>12</v>
      </c>
      <c r="DF10" s="107" t="s">
        <v>12</v>
      </c>
      <c r="DG10" s="107" t="s">
        <v>12</v>
      </c>
      <c r="DH10" s="107" t="s">
        <v>10</v>
      </c>
      <c r="DI10" s="63" t="s">
        <v>14</v>
      </c>
      <c r="DJ10" s="63" t="s">
        <v>14</v>
      </c>
      <c r="DK10" s="107" t="s">
        <v>12</v>
      </c>
      <c r="DL10" s="62" t="s">
        <v>14</v>
      </c>
      <c r="DM10" s="88"/>
      <c r="DN10" s="88"/>
      <c r="DO10" s="88"/>
      <c r="DP10" s="79"/>
      <c r="DQ10" s="99"/>
      <c r="DR10" s="99"/>
      <c r="DS10" s="99"/>
      <c r="DT10" s="99"/>
      <c r="DU10" s="99"/>
      <c r="DV10" s="99"/>
      <c r="DW10" s="107" t="s">
        <v>10</v>
      </c>
      <c r="DX10" s="107" t="s">
        <v>12</v>
      </c>
      <c r="DY10" s="107" t="s">
        <v>12</v>
      </c>
      <c r="DZ10" s="64"/>
      <c r="EA10" s="107" t="s">
        <v>11</v>
      </c>
      <c r="EB10" s="107" t="s">
        <v>11</v>
      </c>
      <c r="EC10" s="107" t="s">
        <v>12</v>
      </c>
      <c r="ED10" s="107" t="s">
        <v>11</v>
      </c>
      <c r="EE10" s="107" t="s">
        <v>11</v>
      </c>
      <c r="EF10" s="108"/>
      <c r="EG10" s="64"/>
      <c r="EH10" s="107" t="s">
        <v>10</v>
      </c>
      <c r="EI10" s="107" t="s">
        <v>10</v>
      </c>
      <c r="EJ10" s="107" t="s">
        <v>12</v>
      </c>
      <c r="EK10" s="107" t="s">
        <v>12</v>
      </c>
      <c r="EL10" s="108"/>
      <c r="EM10" s="107" t="s">
        <v>12</v>
      </c>
      <c r="EN10" s="64"/>
      <c r="EO10" s="107" t="s">
        <v>10</v>
      </c>
      <c r="EP10" s="107" t="s">
        <v>10</v>
      </c>
      <c r="EQ10" s="107" t="s">
        <v>12</v>
      </c>
      <c r="ER10" s="107" t="s">
        <v>12</v>
      </c>
      <c r="ES10" s="108"/>
      <c r="ET10" s="108"/>
      <c r="EU10" s="64"/>
      <c r="EV10" s="107" t="s">
        <v>12</v>
      </c>
      <c r="EW10" s="107" t="s">
        <v>12</v>
      </c>
      <c r="EX10" s="112" t="s">
        <v>10</v>
      </c>
      <c r="EY10" s="111"/>
      <c r="EZ10" s="108"/>
      <c r="FA10" s="108"/>
      <c r="FB10" s="64"/>
      <c r="FC10" s="108"/>
      <c r="FD10" s="108"/>
      <c r="FE10" s="108"/>
      <c r="FF10" s="108"/>
      <c r="FG10" s="107" t="s">
        <v>10</v>
      </c>
      <c r="FH10" s="107" t="s">
        <v>12</v>
      </c>
      <c r="FI10" s="77" t="s">
        <v>12</v>
      </c>
      <c r="FJ10" s="108"/>
      <c r="FK10" s="108"/>
      <c r="FL10" s="108"/>
      <c r="FM10" s="108"/>
      <c r="FN10" s="107" t="s">
        <v>10</v>
      </c>
      <c r="FO10" s="107" t="s">
        <v>12</v>
      </c>
      <c r="FP10" s="77" t="s">
        <v>12</v>
      </c>
      <c r="FQ10" s="108"/>
      <c r="FR10" s="108"/>
      <c r="FS10" s="108"/>
      <c r="FT10" s="107" t="s">
        <v>10</v>
      </c>
      <c r="FU10" s="107" t="s">
        <v>12</v>
      </c>
      <c r="FV10" s="107" t="s">
        <v>12</v>
      </c>
      <c r="FW10" s="64"/>
      <c r="FX10" s="107" t="s">
        <v>11</v>
      </c>
      <c r="FY10" s="107" t="s">
        <v>11</v>
      </c>
      <c r="FZ10" s="107" t="s">
        <v>11</v>
      </c>
      <c r="GA10" s="107" t="s">
        <v>11</v>
      </c>
      <c r="GB10" s="107" t="s">
        <v>11</v>
      </c>
      <c r="GC10" s="110"/>
    </row>
    <row r="11" spans="1:185" x14ac:dyDescent="0.25">
      <c r="A11" s="61" t="s">
        <v>234</v>
      </c>
      <c r="B11" s="77"/>
      <c r="C11" s="107" t="s">
        <v>12</v>
      </c>
      <c r="D11" s="77" t="s">
        <v>12</v>
      </c>
      <c r="E11" s="108"/>
      <c r="F11" s="108"/>
      <c r="G11" s="108"/>
      <c r="H11" s="108"/>
      <c r="I11" s="107" t="s">
        <v>10</v>
      </c>
      <c r="J11" s="107" t="s">
        <v>11</v>
      </c>
      <c r="K11" s="77" t="s">
        <v>12</v>
      </c>
      <c r="L11" s="108"/>
      <c r="M11" s="108"/>
      <c r="N11" s="108"/>
      <c r="O11" s="107" t="s">
        <v>10</v>
      </c>
      <c r="P11" s="107" t="s">
        <v>12</v>
      </c>
      <c r="Q11" s="107" t="s">
        <v>12</v>
      </c>
      <c r="R11" s="64"/>
      <c r="S11" s="107" t="s">
        <v>11</v>
      </c>
      <c r="T11" s="107" t="s">
        <v>11</v>
      </c>
      <c r="U11" s="107" t="s">
        <v>11</v>
      </c>
      <c r="V11" s="107" t="s">
        <v>11</v>
      </c>
      <c r="W11" s="107" t="s">
        <v>11</v>
      </c>
      <c r="X11" s="108"/>
      <c r="Y11" s="64"/>
      <c r="Z11" s="63" t="s">
        <v>14</v>
      </c>
      <c r="AA11" s="63" t="s">
        <v>14</v>
      </c>
      <c r="AB11" s="63" t="s">
        <v>14</v>
      </c>
      <c r="AC11" s="63" t="s">
        <v>14</v>
      </c>
      <c r="AD11" s="63" t="s">
        <v>14</v>
      </c>
      <c r="AE11" s="63" t="s">
        <v>14</v>
      </c>
      <c r="AF11" s="69" t="s">
        <v>14</v>
      </c>
      <c r="AG11" s="109" t="s">
        <v>12</v>
      </c>
      <c r="AH11" s="77" t="s">
        <v>12</v>
      </c>
      <c r="AI11" s="107" t="s">
        <v>10</v>
      </c>
      <c r="AJ11" s="108"/>
      <c r="AK11" s="107" t="s">
        <v>10</v>
      </c>
      <c r="AL11" s="108"/>
      <c r="AM11" s="64"/>
      <c r="AN11" s="108"/>
      <c r="AO11" s="108"/>
      <c r="AP11" s="108"/>
      <c r="AQ11" s="107" t="s">
        <v>10</v>
      </c>
      <c r="AR11" s="107" t="s">
        <v>12</v>
      </c>
      <c r="AS11" s="107" t="s">
        <v>12</v>
      </c>
      <c r="AT11" s="64"/>
      <c r="AU11" s="107" t="s">
        <v>11</v>
      </c>
      <c r="AV11" s="107" t="s">
        <v>11</v>
      </c>
      <c r="AW11" s="107" t="s">
        <v>11</v>
      </c>
      <c r="AX11" s="107" t="s">
        <v>11</v>
      </c>
      <c r="AY11" s="107" t="s">
        <v>11</v>
      </c>
      <c r="AZ11" s="108"/>
      <c r="BA11" s="64"/>
      <c r="BB11" s="107" t="s">
        <v>10</v>
      </c>
      <c r="BC11" s="107" t="s">
        <v>10</v>
      </c>
      <c r="BD11" s="107" t="s">
        <v>12</v>
      </c>
      <c r="BE11" s="107" t="s">
        <v>12</v>
      </c>
      <c r="BF11" s="108"/>
      <c r="BG11" s="108"/>
      <c r="BH11" s="64"/>
      <c r="BI11" s="107" t="s">
        <v>10</v>
      </c>
      <c r="BJ11" s="112" t="s">
        <v>10</v>
      </c>
      <c r="BK11" s="109" t="s">
        <v>12</v>
      </c>
      <c r="BL11" s="107" t="s">
        <v>12</v>
      </c>
      <c r="BM11" s="107" t="s">
        <v>12</v>
      </c>
      <c r="BN11" s="108"/>
      <c r="BO11" s="62" t="s">
        <v>14</v>
      </c>
      <c r="BP11" s="88"/>
      <c r="BQ11" s="88"/>
      <c r="BR11" s="88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108"/>
      <c r="CG11" s="108"/>
      <c r="CH11" s="107" t="s">
        <v>10</v>
      </c>
      <c r="CI11" s="107" t="s">
        <v>12</v>
      </c>
      <c r="CJ11" s="77" t="s">
        <v>12</v>
      </c>
      <c r="CK11" s="108"/>
      <c r="CL11" s="108"/>
      <c r="CM11" s="108"/>
      <c r="CN11" s="107" t="s">
        <v>10</v>
      </c>
      <c r="CO11" s="112" t="s">
        <v>12</v>
      </c>
      <c r="CP11" s="109" t="s">
        <v>12</v>
      </c>
      <c r="CQ11" s="64"/>
      <c r="CR11" s="107" t="s">
        <v>11</v>
      </c>
      <c r="CS11" s="107" t="s">
        <v>11</v>
      </c>
      <c r="CT11" s="107" t="s">
        <v>11</v>
      </c>
      <c r="CU11" s="107" t="s">
        <v>11</v>
      </c>
      <c r="CV11" s="107" t="s">
        <v>12</v>
      </c>
      <c r="CW11" s="108"/>
      <c r="CX11" s="64"/>
      <c r="CY11" s="107" t="s">
        <v>12</v>
      </c>
      <c r="CZ11" s="107" t="s">
        <v>12</v>
      </c>
      <c r="DA11" s="63" t="s">
        <v>14</v>
      </c>
      <c r="DB11" s="99"/>
      <c r="DC11" s="99"/>
      <c r="DD11" s="99"/>
      <c r="DE11" s="99"/>
      <c r="DF11" s="99"/>
      <c r="DG11" s="99"/>
      <c r="DH11" s="99"/>
      <c r="DI11" s="108"/>
      <c r="DJ11" s="108"/>
      <c r="DK11" s="108"/>
      <c r="DL11" s="64"/>
      <c r="DM11" s="108"/>
      <c r="DN11" s="107" t="s">
        <v>12</v>
      </c>
      <c r="DO11" s="108"/>
      <c r="DP11" s="107" t="s">
        <v>10</v>
      </c>
      <c r="DQ11" s="107" t="s">
        <v>12</v>
      </c>
      <c r="DR11" s="107" t="s">
        <v>12</v>
      </c>
      <c r="DS11" s="64"/>
      <c r="DT11" s="112" t="s">
        <v>12</v>
      </c>
      <c r="DU11" s="109" t="s">
        <v>11</v>
      </c>
      <c r="DV11" s="107" t="s">
        <v>12</v>
      </c>
      <c r="DW11" s="107" t="s">
        <v>11</v>
      </c>
      <c r="DX11" s="107" t="s">
        <v>11</v>
      </c>
      <c r="DY11" s="108"/>
      <c r="DZ11" s="64"/>
      <c r="EA11" s="107" t="s">
        <v>10</v>
      </c>
      <c r="EB11" s="107" t="s">
        <v>12</v>
      </c>
      <c r="EC11" s="107" t="s">
        <v>12</v>
      </c>
      <c r="ED11" s="107" t="s">
        <v>12</v>
      </c>
      <c r="EE11" s="108"/>
      <c r="EF11" s="107" t="s">
        <v>11</v>
      </c>
      <c r="EG11" s="64"/>
      <c r="EH11" s="107" t="s">
        <v>10</v>
      </c>
      <c r="EI11" s="107" t="s">
        <v>10</v>
      </c>
      <c r="EJ11" s="107" t="s">
        <v>12</v>
      </c>
      <c r="EK11" s="107" t="s">
        <v>12</v>
      </c>
      <c r="EL11" s="108"/>
      <c r="EM11" s="108"/>
      <c r="EN11" s="77" t="s">
        <v>12</v>
      </c>
      <c r="EO11" s="107" t="s">
        <v>12</v>
      </c>
      <c r="EP11" s="107" t="s">
        <v>12</v>
      </c>
      <c r="EQ11" s="107" t="s">
        <v>10</v>
      </c>
      <c r="ER11" s="108"/>
      <c r="ES11" s="108"/>
      <c r="ET11" s="108"/>
      <c r="EU11" s="64"/>
      <c r="EV11" s="108"/>
      <c r="EW11" s="108"/>
      <c r="EX11" s="110"/>
      <c r="EY11" s="111"/>
      <c r="EZ11" s="107" t="s">
        <v>10</v>
      </c>
      <c r="FA11" s="107" t="s">
        <v>12</v>
      </c>
      <c r="FB11" s="77" t="s">
        <v>12</v>
      </c>
      <c r="FC11" s="108"/>
      <c r="FD11" s="108"/>
      <c r="FE11" s="108"/>
      <c r="FF11" s="108"/>
      <c r="FG11" s="107" t="s">
        <v>10</v>
      </c>
      <c r="FH11" s="107" t="s">
        <v>12</v>
      </c>
      <c r="FI11" s="77" t="s">
        <v>12</v>
      </c>
      <c r="FJ11" s="108"/>
      <c r="FK11" s="108"/>
      <c r="FL11" s="108"/>
      <c r="FM11" s="107" t="s">
        <v>10</v>
      </c>
      <c r="FN11" s="107" t="s">
        <v>12</v>
      </c>
      <c r="FO11" s="107" t="s">
        <v>12</v>
      </c>
      <c r="FP11" s="64"/>
      <c r="FQ11" s="107" t="s">
        <v>11</v>
      </c>
      <c r="FR11" s="107" t="s">
        <v>11</v>
      </c>
      <c r="FS11" s="107" t="s">
        <v>11</v>
      </c>
      <c r="FT11" s="107" t="s">
        <v>11</v>
      </c>
      <c r="FU11" s="107" t="s">
        <v>11</v>
      </c>
      <c r="FV11" s="108"/>
      <c r="FW11" s="64"/>
      <c r="FX11" s="63" t="s">
        <v>14</v>
      </c>
      <c r="FY11" s="63" t="s">
        <v>14</v>
      </c>
      <c r="FZ11" s="63" t="s">
        <v>14</v>
      </c>
      <c r="GA11" s="63" t="s">
        <v>14</v>
      </c>
      <c r="GB11" s="63" t="s">
        <v>14</v>
      </c>
      <c r="GC11" s="71" t="s">
        <v>14</v>
      </c>
    </row>
    <row r="12" spans="1:185" x14ac:dyDescent="0.25">
      <c r="A12" s="61" t="s">
        <v>230</v>
      </c>
      <c r="B12" s="77"/>
      <c r="C12" s="107" t="s">
        <v>12</v>
      </c>
      <c r="D12" s="77" t="s">
        <v>12</v>
      </c>
      <c r="E12" s="108"/>
      <c r="F12" s="108"/>
      <c r="G12" s="108"/>
      <c r="H12" s="107" t="s">
        <v>10</v>
      </c>
      <c r="I12" s="107" t="s">
        <v>12</v>
      </c>
      <c r="J12" s="107" t="s">
        <v>12</v>
      </c>
      <c r="K12" s="64"/>
      <c r="L12" s="107" t="s">
        <v>11</v>
      </c>
      <c r="M12" s="107" t="s">
        <v>11</v>
      </c>
      <c r="N12" s="107" t="s">
        <v>11</v>
      </c>
      <c r="O12" s="107" t="s">
        <v>11</v>
      </c>
      <c r="P12" s="107" t="s">
        <v>11</v>
      </c>
      <c r="Q12" s="108"/>
      <c r="R12" s="64"/>
      <c r="S12" s="63" t="s">
        <v>14</v>
      </c>
      <c r="T12" s="63" t="s">
        <v>14</v>
      </c>
      <c r="U12" s="63" t="s">
        <v>14</v>
      </c>
      <c r="V12" s="63" t="s">
        <v>14</v>
      </c>
      <c r="W12" s="63" t="s">
        <v>14</v>
      </c>
      <c r="X12" s="63" t="s">
        <v>14</v>
      </c>
      <c r="Y12" s="62" t="s">
        <v>14</v>
      </c>
      <c r="Z12" s="107" t="s">
        <v>12</v>
      </c>
      <c r="AA12" s="107" t="s">
        <v>12</v>
      </c>
      <c r="AB12" s="107" t="s">
        <v>10</v>
      </c>
      <c r="AC12" s="108"/>
      <c r="AD12" s="108"/>
      <c r="AE12" s="108"/>
      <c r="AF12" s="68"/>
      <c r="AG12" s="111"/>
      <c r="AH12" s="64"/>
      <c r="AI12" s="108"/>
      <c r="AJ12" s="107" t="s">
        <v>12</v>
      </c>
      <c r="AK12" s="107" t="s">
        <v>12</v>
      </c>
      <c r="AL12" s="107" t="s">
        <v>12</v>
      </c>
      <c r="AM12" s="64"/>
      <c r="AN12" s="107" t="s">
        <v>11</v>
      </c>
      <c r="AO12" s="107" t="s">
        <v>11</v>
      </c>
      <c r="AP12" s="107" t="s">
        <v>11</v>
      </c>
      <c r="AQ12" s="107" t="s">
        <v>11</v>
      </c>
      <c r="AR12" s="107" t="s">
        <v>11</v>
      </c>
      <c r="AS12" s="108"/>
      <c r="AT12" s="64"/>
      <c r="AU12" s="107" t="s">
        <v>10</v>
      </c>
      <c r="AV12" s="107" t="s">
        <v>10</v>
      </c>
      <c r="AW12" s="107" t="s">
        <v>12</v>
      </c>
      <c r="AX12" s="107" t="s">
        <v>12</v>
      </c>
      <c r="AY12" s="108"/>
      <c r="AZ12" s="108"/>
      <c r="BA12" s="64"/>
      <c r="BB12" s="107" t="s">
        <v>10</v>
      </c>
      <c r="BC12" s="107" t="s">
        <v>10</v>
      </c>
      <c r="BD12" s="107" t="s">
        <v>12</v>
      </c>
      <c r="BE12" s="107" t="s">
        <v>12</v>
      </c>
      <c r="BF12" s="108"/>
      <c r="BG12" s="108"/>
      <c r="BH12" s="64"/>
      <c r="BI12" s="107" t="s">
        <v>12</v>
      </c>
      <c r="BJ12" s="112" t="s">
        <v>12</v>
      </c>
      <c r="BK12" s="109" t="s">
        <v>10</v>
      </c>
      <c r="BL12" s="108"/>
      <c r="BM12" s="108"/>
      <c r="BN12" s="108"/>
      <c r="BO12" s="64"/>
      <c r="BP12" s="108"/>
      <c r="BQ12" s="108"/>
      <c r="BR12" s="108"/>
      <c r="BS12" s="108"/>
      <c r="BT12" s="107" t="s">
        <v>10</v>
      </c>
      <c r="BU12" s="107" t="s">
        <v>12</v>
      </c>
      <c r="BV12" s="77" t="s">
        <v>12</v>
      </c>
      <c r="BW12" s="108"/>
      <c r="BX12" s="108"/>
      <c r="BY12" s="108"/>
      <c r="BZ12" s="79"/>
      <c r="CA12" s="79"/>
      <c r="CB12" s="79"/>
      <c r="CC12" s="79"/>
      <c r="CD12" s="79"/>
      <c r="CE12" s="79"/>
      <c r="CF12" s="79"/>
      <c r="CG12" s="88"/>
      <c r="CH12" s="80" t="s">
        <v>12</v>
      </c>
      <c r="CI12" s="107" t="s">
        <v>12</v>
      </c>
      <c r="CJ12" s="64"/>
      <c r="CK12" s="107" t="s">
        <v>12</v>
      </c>
      <c r="CL12" s="107" t="s">
        <v>11</v>
      </c>
      <c r="CM12" s="107" t="s">
        <v>12</v>
      </c>
      <c r="CN12" s="107" t="s">
        <v>11</v>
      </c>
      <c r="CO12" s="112" t="s">
        <v>11</v>
      </c>
      <c r="CP12" s="111"/>
      <c r="CQ12" s="64"/>
      <c r="CR12" s="63" t="s">
        <v>14</v>
      </c>
      <c r="CS12" s="63" t="s">
        <v>14</v>
      </c>
      <c r="CT12" s="63" t="s">
        <v>14</v>
      </c>
      <c r="CU12" s="63" t="s">
        <v>14</v>
      </c>
      <c r="CV12" s="63" t="s">
        <v>14</v>
      </c>
      <c r="CW12" s="63" t="s">
        <v>14</v>
      </c>
      <c r="CX12" s="62" t="s">
        <v>14</v>
      </c>
      <c r="CY12" s="99"/>
      <c r="CZ12" s="99"/>
      <c r="DA12" s="99"/>
      <c r="DB12" s="99"/>
      <c r="DC12" s="99"/>
      <c r="DD12" s="99"/>
      <c r="DE12" s="99"/>
      <c r="DF12" s="99"/>
      <c r="DG12" s="99"/>
      <c r="DH12" s="99"/>
      <c r="DI12" s="107" t="s">
        <v>10</v>
      </c>
      <c r="DJ12" s="107" t="s">
        <v>12</v>
      </c>
      <c r="DK12" s="99"/>
      <c r="DL12" s="64"/>
      <c r="DM12" s="107" t="s">
        <v>12</v>
      </c>
      <c r="DN12" s="107" t="s">
        <v>11</v>
      </c>
      <c r="DO12" s="107" t="s">
        <v>12</v>
      </c>
      <c r="DP12" s="107" t="s">
        <v>11</v>
      </c>
      <c r="DQ12" s="107" t="s">
        <v>11</v>
      </c>
      <c r="DR12" s="108"/>
      <c r="DS12" s="64"/>
      <c r="DT12" s="112" t="s">
        <v>12</v>
      </c>
      <c r="DU12" s="109" t="s">
        <v>12</v>
      </c>
      <c r="DV12" s="107" t="s">
        <v>12</v>
      </c>
      <c r="DW12" s="107" t="s">
        <v>12</v>
      </c>
      <c r="DX12" s="108"/>
      <c r="DY12" s="108"/>
      <c r="DZ12" s="64"/>
      <c r="EA12" s="107" t="s">
        <v>10</v>
      </c>
      <c r="EB12" s="107" t="s">
        <v>10</v>
      </c>
      <c r="EC12" s="107" t="s">
        <v>12</v>
      </c>
      <c r="ED12" s="107" t="s">
        <v>12</v>
      </c>
      <c r="EE12" s="108"/>
      <c r="EF12" s="108"/>
      <c r="EG12" s="77" t="s">
        <v>12</v>
      </c>
      <c r="EH12" s="107" t="s">
        <v>12</v>
      </c>
      <c r="EI12" s="107" t="s">
        <v>12</v>
      </c>
      <c r="EJ12" s="107" t="s">
        <v>10</v>
      </c>
      <c r="EK12" s="108"/>
      <c r="EL12" s="108"/>
      <c r="EM12" s="108"/>
      <c r="EN12" s="64"/>
      <c r="EO12" s="108"/>
      <c r="EP12" s="108"/>
      <c r="EQ12" s="108"/>
      <c r="ER12" s="108"/>
      <c r="ES12" s="107" t="s">
        <v>10</v>
      </c>
      <c r="ET12" s="107" t="s">
        <v>12</v>
      </c>
      <c r="EU12" s="77" t="s">
        <v>12</v>
      </c>
      <c r="EV12" s="108"/>
      <c r="EW12" s="108"/>
      <c r="EX12" s="110"/>
      <c r="EY12" s="111"/>
      <c r="EZ12" s="107" t="s">
        <v>10</v>
      </c>
      <c r="FA12" s="107" t="s">
        <v>12</v>
      </c>
      <c r="FB12" s="77" t="s">
        <v>12</v>
      </c>
      <c r="FC12" s="108"/>
      <c r="FD12" s="108"/>
      <c r="FE12" s="108"/>
      <c r="FF12" s="107" t="s">
        <v>10</v>
      </c>
      <c r="FG12" s="107" t="s">
        <v>12</v>
      </c>
      <c r="FH12" s="107" t="s">
        <v>12</v>
      </c>
      <c r="FI12" s="64"/>
      <c r="FJ12" s="107" t="s">
        <v>11</v>
      </c>
      <c r="FK12" s="107" t="s">
        <v>11</v>
      </c>
      <c r="FL12" s="107" t="s">
        <v>11</v>
      </c>
      <c r="FM12" s="107" t="s">
        <v>11</v>
      </c>
      <c r="FN12" s="107" t="s">
        <v>11</v>
      </c>
      <c r="FO12" s="108"/>
      <c r="FP12" s="64"/>
      <c r="FQ12" s="63" t="s">
        <v>14</v>
      </c>
      <c r="FR12" s="63" t="s">
        <v>14</v>
      </c>
      <c r="FS12" s="63" t="s">
        <v>14</v>
      </c>
      <c r="FT12" s="63" t="s">
        <v>14</v>
      </c>
      <c r="FU12" s="63" t="s">
        <v>14</v>
      </c>
      <c r="FV12" s="107" t="s">
        <v>12</v>
      </c>
      <c r="FW12" s="62" t="s">
        <v>14</v>
      </c>
      <c r="FX12" s="107" t="s">
        <v>12</v>
      </c>
      <c r="FY12" s="107" t="s">
        <v>12</v>
      </c>
      <c r="FZ12" s="107" t="s">
        <v>10</v>
      </c>
      <c r="GA12" s="108"/>
      <c r="GB12" s="108"/>
      <c r="GC12" s="110"/>
    </row>
    <row r="13" spans="1:185" x14ac:dyDescent="0.25">
      <c r="A13" s="61" t="s">
        <v>227</v>
      </c>
      <c r="B13" s="77" t="s">
        <v>12</v>
      </c>
      <c r="C13" s="107" t="s">
        <v>12</v>
      </c>
      <c r="D13" s="64"/>
      <c r="E13" s="107" t="s">
        <v>11</v>
      </c>
      <c r="F13" s="107" t="s">
        <v>11</v>
      </c>
      <c r="G13" s="107" t="s">
        <v>11</v>
      </c>
      <c r="H13" s="107" t="s">
        <v>11</v>
      </c>
      <c r="I13" s="107" t="s">
        <v>11</v>
      </c>
      <c r="J13" s="108"/>
      <c r="K13" s="64"/>
      <c r="L13" s="63" t="s">
        <v>14</v>
      </c>
      <c r="M13" s="63" t="s">
        <v>14</v>
      </c>
      <c r="N13" s="63" t="s">
        <v>14</v>
      </c>
      <c r="O13" s="63" t="s">
        <v>14</v>
      </c>
      <c r="P13" s="63" t="s">
        <v>14</v>
      </c>
      <c r="Q13" s="63" t="s">
        <v>14</v>
      </c>
      <c r="R13" s="62" t="s">
        <v>14</v>
      </c>
      <c r="S13" s="107" t="s">
        <v>12</v>
      </c>
      <c r="T13" s="107" t="s">
        <v>12</v>
      </c>
      <c r="U13" s="107" t="s">
        <v>10</v>
      </c>
      <c r="V13" s="108"/>
      <c r="W13" s="108"/>
      <c r="X13" s="108"/>
      <c r="Y13" s="64"/>
      <c r="Z13" s="108"/>
      <c r="AA13" s="108"/>
      <c r="AB13" s="108"/>
      <c r="AC13" s="88"/>
      <c r="AD13" s="107" t="s">
        <v>12</v>
      </c>
      <c r="AE13" s="107" t="s">
        <v>12</v>
      </c>
      <c r="AF13" s="68"/>
      <c r="AG13" s="109" t="s">
        <v>11</v>
      </c>
      <c r="AH13" s="77"/>
      <c r="AI13" s="107" t="s">
        <v>11</v>
      </c>
      <c r="AJ13" s="107" t="s">
        <v>12</v>
      </c>
      <c r="AK13" s="107" t="s">
        <v>11</v>
      </c>
      <c r="AL13" s="108"/>
      <c r="AM13" s="64"/>
      <c r="AN13" s="107" t="s">
        <v>10</v>
      </c>
      <c r="AO13" s="107" t="s">
        <v>10</v>
      </c>
      <c r="AP13" s="107" t="s">
        <v>12</v>
      </c>
      <c r="AQ13" s="107" t="s">
        <v>12</v>
      </c>
      <c r="AR13" s="108"/>
      <c r="AS13" s="108"/>
      <c r="AT13" s="64"/>
      <c r="AU13" s="107" t="s">
        <v>10</v>
      </c>
      <c r="AV13" s="107" t="s">
        <v>10</v>
      </c>
      <c r="AW13" s="107" t="s">
        <v>12</v>
      </c>
      <c r="AX13" s="107" t="s">
        <v>12</v>
      </c>
      <c r="AY13" s="108"/>
      <c r="AZ13" s="108"/>
      <c r="BA13" s="64"/>
      <c r="BB13" s="107" t="s">
        <v>12</v>
      </c>
      <c r="BC13" s="107" t="s">
        <v>12</v>
      </c>
      <c r="BD13" s="107" t="s">
        <v>10</v>
      </c>
      <c r="BE13" s="108"/>
      <c r="BF13" s="108"/>
      <c r="BG13" s="108"/>
      <c r="BH13" s="64"/>
      <c r="BI13" s="79"/>
      <c r="BJ13" s="82"/>
      <c r="BK13" s="83"/>
      <c r="BL13" s="79"/>
      <c r="BM13" s="88"/>
      <c r="BN13" s="88"/>
      <c r="BO13" s="88"/>
      <c r="BP13" s="79"/>
      <c r="BQ13" s="79"/>
      <c r="BR13" s="79"/>
      <c r="BS13" s="108"/>
      <c r="BT13" s="107" t="s">
        <v>10</v>
      </c>
      <c r="BU13" s="107" t="s">
        <v>12</v>
      </c>
      <c r="BV13" s="77" t="s">
        <v>12</v>
      </c>
      <c r="BW13" s="108"/>
      <c r="BX13" s="108"/>
      <c r="BY13" s="108"/>
      <c r="BZ13" s="107" t="s">
        <v>10</v>
      </c>
      <c r="CA13" s="107" t="s">
        <v>12</v>
      </c>
      <c r="CB13" s="107" t="s">
        <v>12</v>
      </c>
      <c r="CC13" s="64"/>
      <c r="CD13" s="107" t="s">
        <v>11</v>
      </c>
      <c r="CE13" s="107" t="s">
        <v>11</v>
      </c>
      <c r="CF13" s="107" t="s">
        <v>11</v>
      </c>
      <c r="CG13" s="107" t="s">
        <v>12</v>
      </c>
      <c r="CH13" s="107" t="s">
        <v>11</v>
      </c>
      <c r="CI13" s="108"/>
      <c r="CJ13" s="64"/>
      <c r="CK13" s="63" t="s">
        <v>14</v>
      </c>
      <c r="CL13" s="63" t="s">
        <v>14</v>
      </c>
      <c r="CM13" s="63" t="s">
        <v>14</v>
      </c>
      <c r="CN13" s="63" t="s">
        <v>14</v>
      </c>
      <c r="CO13" s="112" t="s">
        <v>10</v>
      </c>
      <c r="CP13" s="109" t="s">
        <v>12</v>
      </c>
      <c r="CQ13" s="77" t="s">
        <v>10</v>
      </c>
      <c r="CR13" s="107" t="s">
        <v>12</v>
      </c>
      <c r="CS13" s="107" t="s">
        <v>12</v>
      </c>
      <c r="CT13" s="107" t="s">
        <v>10</v>
      </c>
      <c r="CU13" s="108"/>
      <c r="CV13" s="108"/>
      <c r="CW13" s="107" t="s">
        <v>12</v>
      </c>
      <c r="CX13" s="64"/>
      <c r="CY13" s="108"/>
      <c r="CZ13" s="108"/>
      <c r="DA13" s="107" t="s">
        <v>12</v>
      </c>
      <c r="DB13" s="107" t="s">
        <v>10</v>
      </c>
      <c r="DC13" s="107" t="s">
        <v>12</v>
      </c>
      <c r="DD13" s="77"/>
      <c r="DE13" s="64"/>
      <c r="DF13" s="107" t="s">
        <v>11</v>
      </c>
      <c r="DG13" s="107" t="s">
        <v>11</v>
      </c>
      <c r="DH13" s="107" t="s">
        <v>11</v>
      </c>
      <c r="DI13" s="107" t="s">
        <v>11</v>
      </c>
      <c r="DJ13" s="107" t="s">
        <v>11</v>
      </c>
      <c r="DK13" s="108"/>
      <c r="DL13" s="64"/>
      <c r="DM13" s="107" t="s">
        <v>10</v>
      </c>
      <c r="DN13" s="107" t="s">
        <v>10</v>
      </c>
      <c r="DO13" s="107" t="s">
        <v>12</v>
      </c>
      <c r="DP13" s="107" t="s">
        <v>12</v>
      </c>
      <c r="DQ13" s="108"/>
      <c r="DR13" s="108"/>
      <c r="DS13" s="64"/>
      <c r="DT13" s="112" t="s">
        <v>12</v>
      </c>
      <c r="DU13" s="109" t="s">
        <v>10</v>
      </c>
      <c r="DV13" s="107" t="s">
        <v>12</v>
      </c>
      <c r="DW13" s="107" t="s">
        <v>12</v>
      </c>
      <c r="DX13" s="108"/>
      <c r="DY13" s="108"/>
      <c r="DZ13" s="64"/>
      <c r="EA13" s="107" t="s">
        <v>12</v>
      </c>
      <c r="EB13" s="88"/>
      <c r="EC13" s="88"/>
      <c r="ED13" s="79"/>
      <c r="EE13" s="79"/>
      <c r="EF13" s="79"/>
      <c r="EG13" s="79"/>
      <c r="EH13" s="79"/>
      <c r="EI13" s="79"/>
      <c r="EJ13" s="79"/>
      <c r="EK13" s="79"/>
      <c r="EL13" s="88"/>
      <c r="EM13" s="88"/>
      <c r="EN13" s="88"/>
      <c r="EO13" s="79"/>
      <c r="EP13" s="79"/>
      <c r="EQ13" s="79"/>
      <c r="ER13" s="108"/>
      <c r="ES13" s="107" t="s">
        <v>10</v>
      </c>
      <c r="ET13" s="107" t="s">
        <v>12</v>
      </c>
      <c r="EU13" s="77" t="s">
        <v>12</v>
      </c>
      <c r="EV13" s="108"/>
      <c r="EW13" s="108"/>
      <c r="EX13" s="110"/>
      <c r="EY13" s="109" t="s">
        <v>10</v>
      </c>
      <c r="EZ13" s="107" t="s">
        <v>11</v>
      </c>
      <c r="FA13" s="88"/>
      <c r="FB13" s="79"/>
      <c r="FC13" s="107" t="s">
        <v>11</v>
      </c>
      <c r="FD13" s="107" t="s">
        <v>11</v>
      </c>
      <c r="FE13" s="107" t="s">
        <v>11</v>
      </c>
      <c r="FF13" s="107" t="s">
        <v>11</v>
      </c>
      <c r="FG13" s="107" t="s">
        <v>11</v>
      </c>
      <c r="FH13" s="108"/>
      <c r="FI13" s="64"/>
      <c r="FJ13" s="63" t="s">
        <v>14</v>
      </c>
      <c r="FK13" s="63" t="s">
        <v>14</v>
      </c>
      <c r="FL13" s="63" t="s">
        <v>14</v>
      </c>
      <c r="FM13" s="63" t="s">
        <v>14</v>
      </c>
      <c r="FN13" s="63" t="s">
        <v>14</v>
      </c>
      <c r="FO13" s="63" t="s">
        <v>14</v>
      </c>
      <c r="FP13" s="62" t="s">
        <v>14</v>
      </c>
      <c r="FQ13" s="107" t="s">
        <v>12</v>
      </c>
      <c r="FR13" s="107" t="s">
        <v>12</v>
      </c>
      <c r="FS13" s="107" t="s">
        <v>10</v>
      </c>
      <c r="FT13" s="108"/>
      <c r="FU13" s="108"/>
      <c r="FV13" s="108"/>
      <c r="FW13" s="77" t="s">
        <v>12</v>
      </c>
      <c r="FX13" s="108"/>
      <c r="FY13" s="108"/>
      <c r="FZ13" s="108"/>
      <c r="GA13" s="107" t="s">
        <v>10</v>
      </c>
      <c r="GB13" s="107" t="s">
        <v>12</v>
      </c>
      <c r="GC13" s="112" t="s">
        <v>12</v>
      </c>
    </row>
    <row r="14" spans="1:185" x14ac:dyDescent="0.25">
      <c r="A14" s="61" t="s">
        <v>213</v>
      </c>
      <c r="B14" s="77"/>
      <c r="C14" s="108"/>
      <c r="D14" s="64"/>
      <c r="E14" s="63" t="s">
        <v>14</v>
      </c>
      <c r="F14" s="63" t="s">
        <v>14</v>
      </c>
      <c r="G14" s="63" t="s">
        <v>14</v>
      </c>
      <c r="H14" s="63" t="s">
        <v>14</v>
      </c>
      <c r="I14" s="63" t="s">
        <v>14</v>
      </c>
      <c r="J14" s="63" t="s">
        <v>14</v>
      </c>
      <c r="K14" s="62" t="s">
        <v>14</v>
      </c>
      <c r="L14" s="107" t="s">
        <v>12</v>
      </c>
      <c r="M14" s="107" t="s">
        <v>12</v>
      </c>
      <c r="N14" s="107" t="s">
        <v>10</v>
      </c>
      <c r="O14" s="79"/>
      <c r="P14" s="79"/>
      <c r="Q14" s="79"/>
      <c r="R14" s="79"/>
      <c r="S14" s="79"/>
      <c r="T14" s="79"/>
      <c r="U14" s="79"/>
      <c r="V14" s="107" t="s">
        <v>10</v>
      </c>
      <c r="W14" s="107" t="s">
        <v>12</v>
      </c>
      <c r="X14" s="107" t="s">
        <v>12</v>
      </c>
      <c r="Y14" s="64"/>
      <c r="Z14" s="107" t="s">
        <v>11</v>
      </c>
      <c r="AA14" s="107" t="s">
        <v>11</v>
      </c>
      <c r="AB14" s="107" t="s">
        <v>11</v>
      </c>
      <c r="AC14" s="107" t="s">
        <v>12</v>
      </c>
      <c r="AD14" s="107" t="s">
        <v>11</v>
      </c>
      <c r="AE14" s="79"/>
      <c r="AF14" s="82"/>
      <c r="AG14" s="109" t="s">
        <v>10</v>
      </c>
      <c r="AH14" s="77"/>
      <c r="AI14" s="107" t="s">
        <v>12</v>
      </c>
      <c r="AJ14" s="107" t="s">
        <v>12</v>
      </c>
      <c r="AK14" s="108"/>
      <c r="AL14" s="63" t="s">
        <v>14</v>
      </c>
      <c r="AM14" s="64"/>
      <c r="AN14" s="107" t="s">
        <v>10</v>
      </c>
      <c r="AO14" s="107" t="s">
        <v>10</v>
      </c>
      <c r="AP14" s="107" t="s">
        <v>12</v>
      </c>
      <c r="AQ14" s="107" t="s">
        <v>12</v>
      </c>
      <c r="AR14" s="108"/>
      <c r="AS14" s="108"/>
      <c r="AT14" s="64"/>
      <c r="AU14" s="107" t="s">
        <v>12</v>
      </c>
      <c r="AV14" s="107" t="s">
        <v>12</v>
      </c>
      <c r="AW14" s="107" t="s">
        <v>10</v>
      </c>
      <c r="AX14" s="108"/>
      <c r="AY14" s="108"/>
      <c r="AZ14" s="63" t="s">
        <v>14</v>
      </c>
      <c r="BA14" s="64"/>
      <c r="BB14" s="108"/>
      <c r="BC14" s="108"/>
      <c r="BD14" s="108"/>
      <c r="BE14" s="108"/>
      <c r="BF14" s="107" t="s">
        <v>10</v>
      </c>
      <c r="BG14" s="107" t="s">
        <v>12</v>
      </c>
      <c r="BH14" s="77" t="s">
        <v>12</v>
      </c>
      <c r="BI14" s="108"/>
      <c r="BJ14" s="110"/>
      <c r="BK14" s="111"/>
      <c r="BL14" s="108"/>
      <c r="BM14" s="107" t="s">
        <v>10</v>
      </c>
      <c r="BN14" s="107" t="s">
        <v>12</v>
      </c>
      <c r="BO14" s="77" t="s">
        <v>12</v>
      </c>
      <c r="BP14" s="107" t="s">
        <v>12</v>
      </c>
      <c r="BQ14" s="108"/>
      <c r="BR14" s="108"/>
      <c r="BS14" s="107" t="s">
        <v>10</v>
      </c>
      <c r="BT14" s="107" t="s">
        <v>12</v>
      </c>
      <c r="BU14" s="107" t="s">
        <v>12</v>
      </c>
      <c r="BV14" s="64"/>
      <c r="BW14" s="107" t="s">
        <v>11</v>
      </c>
      <c r="BX14" s="107" t="s">
        <v>11</v>
      </c>
      <c r="BY14" s="107" t="s">
        <v>11</v>
      </c>
      <c r="BZ14" s="107" t="s">
        <v>11</v>
      </c>
      <c r="CA14" s="107" t="s">
        <v>12</v>
      </c>
      <c r="CB14" s="108"/>
      <c r="CC14" s="77" t="s">
        <v>12</v>
      </c>
      <c r="CD14" s="63" t="s">
        <v>14</v>
      </c>
      <c r="CE14" s="63" t="s">
        <v>14</v>
      </c>
      <c r="CF14" s="63" t="s">
        <v>14</v>
      </c>
      <c r="CG14" s="63" t="s">
        <v>14</v>
      </c>
      <c r="CH14" s="63" t="s">
        <v>14</v>
      </c>
      <c r="CI14" s="63" t="s">
        <v>14</v>
      </c>
      <c r="CJ14" s="62" t="s">
        <v>14</v>
      </c>
      <c r="CK14" s="107" t="s">
        <v>12</v>
      </c>
      <c r="CL14" s="107" t="s">
        <v>12</v>
      </c>
      <c r="CM14" s="107" t="s">
        <v>10</v>
      </c>
      <c r="CN14" s="99"/>
      <c r="CO14" s="99"/>
      <c r="CP14" s="99"/>
      <c r="CQ14" s="99"/>
      <c r="CR14" s="99"/>
      <c r="CS14" s="99"/>
      <c r="CT14" s="99"/>
      <c r="CU14" s="107" t="s">
        <v>10</v>
      </c>
      <c r="CV14" s="107" t="s">
        <v>12</v>
      </c>
      <c r="CW14" s="107" t="s">
        <v>12</v>
      </c>
      <c r="CX14" s="64"/>
      <c r="CY14" s="107" t="s">
        <v>12</v>
      </c>
      <c r="CZ14" s="107" t="s">
        <v>11</v>
      </c>
      <c r="DA14" s="107" t="s">
        <v>11</v>
      </c>
      <c r="DB14" s="107" t="s">
        <v>11</v>
      </c>
      <c r="DC14" s="107" t="s">
        <v>12</v>
      </c>
      <c r="DD14" s="64"/>
      <c r="DE14" s="64"/>
      <c r="DF14" s="107" t="s">
        <v>10</v>
      </c>
      <c r="DG14" s="107" t="s">
        <v>10</v>
      </c>
      <c r="DH14" s="107" t="s">
        <v>12</v>
      </c>
      <c r="DI14" s="107" t="s">
        <v>12</v>
      </c>
      <c r="DJ14" s="108"/>
      <c r="DK14" s="63" t="s">
        <v>14</v>
      </c>
      <c r="DL14" s="64"/>
      <c r="DM14" s="107" t="s">
        <v>12</v>
      </c>
      <c r="DN14" s="107" t="s">
        <v>10</v>
      </c>
      <c r="DO14" s="107" t="s">
        <v>12</v>
      </c>
      <c r="DP14" s="107" t="s">
        <v>12</v>
      </c>
      <c r="DQ14" s="99"/>
      <c r="DR14" s="99"/>
      <c r="DS14" s="99"/>
      <c r="DT14" s="99"/>
      <c r="DU14" s="99"/>
      <c r="DV14" s="99"/>
      <c r="DW14" s="99"/>
      <c r="DX14" s="79"/>
      <c r="DY14" s="79"/>
      <c r="DZ14" s="79"/>
      <c r="EA14" s="79"/>
      <c r="EB14" s="79"/>
      <c r="EC14" s="79"/>
      <c r="ED14" s="79"/>
      <c r="EE14" s="88"/>
      <c r="EF14" s="88"/>
      <c r="EG14" s="88"/>
      <c r="EH14" s="79"/>
      <c r="EI14" s="79"/>
      <c r="EJ14" s="79"/>
      <c r="EK14" s="79"/>
      <c r="EL14" s="107" t="s">
        <v>10</v>
      </c>
      <c r="EM14" s="107" t="s">
        <v>12</v>
      </c>
      <c r="EN14" s="77" t="s">
        <v>12</v>
      </c>
      <c r="EO14" s="63" t="s">
        <v>14</v>
      </c>
      <c r="EP14" s="108"/>
      <c r="EQ14" s="108"/>
      <c r="ER14" s="107" t="s">
        <v>10</v>
      </c>
      <c r="ES14" s="107" t="s">
        <v>12</v>
      </c>
      <c r="ET14" s="107" t="s">
        <v>12</v>
      </c>
      <c r="EU14" s="64"/>
      <c r="EV14" s="107" t="s">
        <v>11</v>
      </c>
      <c r="EW14" s="107" t="s">
        <v>11</v>
      </c>
      <c r="EX14" s="112" t="s">
        <v>11</v>
      </c>
      <c r="EY14" s="109" t="s">
        <v>11</v>
      </c>
      <c r="EZ14" s="107" t="s">
        <v>12</v>
      </c>
      <c r="FA14" s="63" t="s">
        <v>14</v>
      </c>
      <c r="FB14" s="64"/>
      <c r="FC14" s="63" t="s">
        <v>14</v>
      </c>
      <c r="FD14" s="63" t="s">
        <v>14</v>
      </c>
      <c r="FE14" s="63" t="s">
        <v>14</v>
      </c>
      <c r="FF14" s="63" t="s">
        <v>14</v>
      </c>
      <c r="FG14" s="63" t="s">
        <v>14</v>
      </c>
      <c r="FH14" s="63" t="s">
        <v>14</v>
      </c>
      <c r="FI14" s="62" t="s">
        <v>14</v>
      </c>
      <c r="FJ14" s="107" t="s">
        <v>12</v>
      </c>
      <c r="FK14" s="107" t="s">
        <v>12</v>
      </c>
      <c r="FL14" s="107" t="s">
        <v>10</v>
      </c>
      <c r="FM14" s="108"/>
      <c r="FN14" s="108"/>
      <c r="FO14" s="108"/>
      <c r="FP14" s="64"/>
      <c r="FQ14" s="108"/>
      <c r="FR14" s="108"/>
      <c r="FS14" s="108"/>
      <c r="FT14" s="107" t="s">
        <v>10</v>
      </c>
      <c r="FU14" s="107" t="s">
        <v>12</v>
      </c>
      <c r="FV14" s="107" t="s">
        <v>12</v>
      </c>
      <c r="FW14" s="64"/>
      <c r="FX14" s="107" t="s">
        <v>11</v>
      </c>
      <c r="FY14" s="107" t="s">
        <v>11</v>
      </c>
      <c r="FZ14" s="107" t="s">
        <v>11</v>
      </c>
      <c r="GA14" s="107" t="s">
        <v>11</v>
      </c>
      <c r="GB14" s="107" t="s">
        <v>11</v>
      </c>
      <c r="GC14" s="110"/>
    </row>
  </sheetData>
  <sheetProtection sheet="1" objects="1" scenarios="1"/>
  <mergeCells count="6">
    <mergeCell ref="EY2:GC2"/>
    <mergeCell ref="B2:AF2"/>
    <mergeCell ref="AG2:BJ2"/>
    <mergeCell ref="BK2:CO2"/>
    <mergeCell ref="CP2:DT2"/>
    <mergeCell ref="DU2:EX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BC19AD-C1E3-445F-82B6-9FE858666F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2</vt:i4>
      </vt:variant>
    </vt:vector>
  </HeadingPairs>
  <TitlesOfParts>
    <vt:vector size="7" baseType="lpstr">
      <vt:lpstr>modelli</vt:lpstr>
      <vt:lpstr>calendari</vt:lpstr>
      <vt:lpstr>settimanale</vt:lpstr>
      <vt:lpstr>piano ferie</vt:lpstr>
      <vt:lpstr>calendario ferie</vt:lpstr>
      <vt:lpstr>calendari!Area_stampa</vt:lpstr>
      <vt:lpstr>settimanale!Area_stampa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Marabelli</dc:creator>
  <cp:lastModifiedBy>Stefano Marabelli</cp:lastModifiedBy>
  <cp:lastPrinted>2026-03-19T20:36:50Z</cp:lastPrinted>
  <dcterms:created xsi:type="dcterms:W3CDTF">2026-02-24T17:53:53Z</dcterms:created>
  <dcterms:modified xsi:type="dcterms:W3CDTF">2026-04-20T13:03:58Z</dcterms:modified>
</cp:coreProperties>
</file>